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Rent Roll" sheetId="3" state="visible" r:id="rId3"/>
    <sheet xmlns:r="http://schemas.openxmlformats.org/officeDocument/2006/relationships" name="Unit Mix" sheetId="4" state="visible" r:id="rId4"/>
    <sheet xmlns:r="http://schemas.openxmlformats.org/officeDocument/2006/relationships" name="T-12 Recast" sheetId="5" state="visible" r:id="rId5"/>
    <sheet xmlns:r="http://schemas.openxmlformats.org/officeDocument/2006/relationships" name="Other Income" sheetId="6" state="visible" r:id="rId6"/>
    <sheet xmlns:r="http://schemas.openxmlformats.org/officeDocument/2006/relationships" name="Capex Budget" sheetId="7" state="visible" r:id="rId7"/>
    <sheet xmlns:r="http://schemas.openxmlformats.org/officeDocument/2006/relationships" name="Reno Schedule" sheetId="8" state="visible" r:id="rId8"/>
    <sheet xmlns:r="http://schemas.openxmlformats.org/officeDocument/2006/relationships" name="Annual Model" sheetId="9" state="visible" r:id="rId9"/>
    <sheet xmlns:r="http://schemas.openxmlformats.org/officeDocument/2006/relationships" name="Returns" sheetId="10" state="visible" r:id="rId10"/>
    <sheet xmlns:r="http://schemas.openxmlformats.org/officeDocument/2006/relationships" name="Sensitivities" sheetId="11" state="visible" r:id="rId11"/>
    <sheet xmlns:r="http://schemas.openxmlformats.org/officeDocument/2006/relationships" name="Tax Record" sheetId="12" state="visible" r:id="rId12"/>
    <sheet xmlns:r="http://schemas.openxmlformats.org/officeDocument/2006/relationships" name="DD Questions" sheetId="13" state="visible" r:id="rId13"/>
  </sheets>
  <definedNames>
    <definedName name="_xlnm.Print_Titles" localSheetId="2">'Rent Roll'!$5:$5</definedName>
    <definedName name="_xlnm.Print_Titles" localSheetId="7">'Reno Schedule'!$5:$5</definedName>
    <definedName name="_xlnm.Print_Titles" localSheetId="12">'DD Questions'!$5:$5</definedName>
  </definedNames>
  <calcPr calcId="124519" fullCalcOnLoad="1"/>
</workbook>
</file>

<file path=xl/styles.xml><?xml version="1.0" encoding="utf-8"?>
<styleSheet xmlns="http://schemas.openxmlformats.org/spreadsheetml/2006/main">
  <numFmts count="10">
    <numFmt numFmtId="164" formatCode="$#,##0;($#,##0);&quot;-&quot;"/>
    <numFmt numFmtId="165" formatCode="0.0%;(0.0%);&quot;-&quot;"/>
    <numFmt numFmtId="166" formatCode="$#,##0.00;($#,##0.00);&quot;-&quot;"/>
    <numFmt numFmtId="167" formatCode="mmm-yyyy"/>
    <numFmt numFmtId="168" formatCode="#,##0;(#,##0);&quot;-&quot;"/>
    <numFmt numFmtId="169" formatCode="0.00%;(0.00%);&quot;-&quot;"/>
    <numFmt numFmtId="170" formatCode="0.00&quot;x&quot;"/>
    <numFmt numFmtId="171" formatCode="yyyy-mm-dd h:mm:ss"/>
    <numFmt numFmtId="172" formatCode="#,##0.0;(#,##0.0);&quot;-&quot;"/>
    <numFmt numFmtId="173" formatCode="0.0000"/>
  </numFmts>
  <fonts count="11">
    <font>
      <name val="Calibri"/>
      <family val="2"/>
      <color theme="1"/>
      <sz val="11"/>
      <scheme val="minor"/>
    </font>
    <font>
      <name val="Arial"/>
      <b val="1"/>
      <color rgb="001F3864"/>
      <sz val="14"/>
    </font>
    <font>
      <name val="Arial"/>
      <b val="1"/>
      <color rgb="00404040"/>
      <sz val="10"/>
    </font>
    <font>
      <name val="Arial"/>
      <i val="1"/>
      <color rgb="00595959"/>
      <sz val="9"/>
    </font>
    <font>
      <name val="Arial"/>
      <b val="1"/>
      <color rgb="00FFFFFF"/>
      <sz val="11"/>
    </font>
    <font>
      <name val="Arial"/>
      <b val="1"/>
      <sz val="10"/>
    </font>
    <font>
      <name val="Arial"/>
      <sz val="10"/>
    </font>
    <font>
      <name val="Arial"/>
      <color rgb="000000FF"/>
      <sz val="10"/>
    </font>
    <font>
      <name val="Arial"/>
      <color rgb="00595959"/>
      <sz val="9"/>
    </font>
    <font>
      <name val="Arial"/>
      <color rgb="00008000"/>
      <sz val="10"/>
    </font>
    <font>
      <name val="Arial"/>
      <b val="1"/>
      <color rgb="00008000"/>
      <sz val="10"/>
    </font>
  </fonts>
  <fills count="6">
    <fill>
      <patternFill/>
    </fill>
    <fill>
      <patternFill patternType="gray125"/>
    </fill>
    <fill>
      <patternFill patternType="solid">
        <fgColor rgb="001F3864"/>
      </patternFill>
    </fill>
    <fill>
      <patternFill patternType="solid">
        <fgColor rgb="00D9E1F2"/>
      </patternFill>
    </fill>
    <fill>
      <patternFill patternType="solid">
        <fgColor rgb="00FFFF00"/>
      </patternFill>
    </fill>
    <fill>
      <patternFill patternType="solid">
        <fgColor rgb="00F2F2F2"/>
      </patternFill>
    </fill>
  </fills>
  <borders count="4">
    <border>
      <left/>
      <right/>
      <top/>
      <bottom/>
      <diagonal/>
    </border>
    <border>
      <left style="thin">
        <color rgb="00BFBFBF"/>
      </left>
      <right style="thin">
        <color rgb="00BFBFBF"/>
      </right>
      <top style="thin">
        <color rgb="00BFBFBF"/>
      </top>
      <bottom style="thin">
        <color rgb="00BFBFBF"/>
      </bottom>
    </border>
    <border>
      <top style="thin">
        <color rgb="00404040"/>
      </top>
    </border>
    <border>
      <top style="thin">
        <color rgb="00404040"/>
      </top>
      <bottom style="double">
        <color rgb="00404040"/>
      </bottom>
    </border>
  </borders>
  <cellStyleXfs count="1">
    <xf numFmtId="0" fontId="0" fillId="0" borderId="0"/>
  </cellStyleXfs>
  <cellXfs count="10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left" vertical="center"/>
    </xf>
    <xf numFmtId="0" fontId="0" fillId="2" borderId="0" pivotButton="0" quotePrefix="0" xfId="0"/>
    <xf numFmtId="0" fontId="5" fillId="0" borderId="0" pivotButton="0" quotePrefix="0" xfId="0"/>
    <xf numFmtId="0" fontId="6" fillId="0" borderId="0" applyAlignment="1" pivotButton="0" quotePrefix="0" xfId="0">
      <alignment horizontal="left" vertical="top" wrapText="1"/>
    </xf>
    <xf numFmtId="0" fontId="5" fillId="3" borderId="0" pivotButton="0" quotePrefix="0" xfId="0"/>
    <xf numFmtId="0" fontId="5" fillId="4" borderId="0" pivotButton="0" quotePrefix="0" xfId="0"/>
    <xf numFmtId="0" fontId="6" fillId="0" borderId="0" pivotButton="0" quotePrefix="0" xfId="0"/>
    <xf numFmtId="164" fontId="7" fillId="4" borderId="0" applyAlignment="1" pivotButton="0" quotePrefix="0" xfId="0">
      <alignment horizontal="center" vertical="center"/>
    </xf>
    <xf numFmtId="0" fontId="8" fillId="0" borderId="0" applyAlignment="1" pivotButton="0" quotePrefix="0" xfId="0">
      <alignment horizontal="left" vertical="top" wrapText="1"/>
    </xf>
    <xf numFmtId="165" fontId="6" fillId="0" borderId="0" applyAlignment="1" pivotButton="0" quotePrefix="0" xfId="0">
      <alignment horizontal="center" vertical="center"/>
    </xf>
    <xf numFmtId="164" fontId="6" fillId="0" borderId="0" applyAlignment="1" pivotButton="0" quotePrefix="0" xfId="0">
      <alignment horizontal="center" vertical="center"/>
    </xf>
    <xf numFmtId="166" fontId="6" fillId="0" borderId="0" applyAlignment="1" pivotButton="0" quotePrefix="0" xfId="0">
      <alignment horizontal="center" vertical="center"/>
    </xf>
    <xf numFmtId="165"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horizontal="center" vertical="center"/>
    </xf>
    <xf numFmtId="169" fontId="7" fillId="4" borderId="0" applyAlignment="1" pivotButton="0" quotePrefix="0" xfId="0">
      <alignment horizontal="center" vertical="center"/>
    </xf>
    <xf numFmtId="169" fontId="9" fillId="0" borderId="0" applyAlignment="1" pivotButton="0" quotePrefix="0" xfId="0">
      <alignment horizontal="center" vertical="center"/>
    </xf>
    <xf numFmtId="168" fontId="6" fillId="0" borderId="0" applyAlignment="1" pivotButton="0" quotePrefix="0" xfId="0">
      <alignment horizontal="center" vertical="center"/>
    </xf>
    <xf numFmtId="1" fontId="7" fillId="0" borderId="0" applyAlignment="1" pivotButton="0" quotePrefix="0" xfId="0">
      <alignment horizontal="center" vertical="center"/>
    </xf>
    <xf numFmtId="164" fontId="9" fillId="0" borderId="0" applyAlignment="1" pivotButton="0" quotePrefix="0" xfId="0">
      <alignment horizontal="center" vertical="center"/>
    </xf>
    <xf numFmtId="164" fontId="7" fillId="0" borderId="0" applyAlignment="1" pivotButton="0" quotePrefix="0" xfId="0">
      <alignment horizontal="center" vertical="center"/>
    </xf>
    <xf numFmtId="168" fontId="9" fillId="0" borderId="0" applyAlignment="1" pivotButton="0" quotePrefix="0" xfId="0">
      <alignment horizontal="center" vertical="center"/>
    </xf>
    <xf numFmtId="168" fontId="7" fillId="4" borderId="0" applyAlignment="1" pivotButton="0" quotePrefix="0" xfId="0">
      <alignment horizontal="center" vertical="center"/>
    </xf>
    <xf numFmtId="169" fontId="6" fillId="0" borderId="0" applyAlignment="1" pivotButton="0" quotePrefix="0" xfId="0">
      <alignment horizontal="center" vertical="center"/>
    </xf>
    <xf numFmtId="0" fontId="5" fillId="3" borderId="0" applyAlignment="1" pivotButton="0" quotePrefix="0" xfId="0">
      <alignment horizontal="center" vertical="center"/>
    </xf>
    <xf numFmtId="165" fontId="7" fillId="4" borderId="0" applyAlignment="1" pivotButton="0" quotePrefix="0" xfId="0">
      <alignment horizontal="center" vertical="center"/>
    </xf>
    <xf numFmtId="170" fontId="7" fillId="0" borderId="0" applyAlignment="1" pivotButton="0" quotePrefix="0" xfId="0">
      <alignment horizontal="center" vertical="center"/>
    </xf>
    <xf numFmtId="0" fontId="5" fillId="3" borderId="1" applyAlignment="1" pivotButton="0" quotePrefix="0" xfId="0">
      <alignment horizontal="left" vertical="top" wrapText="1"/>
    </xf>
    <xf numFmtId="0" fontId="6" fillId="0" borderId="0" applyAlignment="1" pivotButton="0" quotePrefix="0" xfId="0">
      <alignment horizontal="center" vertical="center"/>
    </xf>
    <xf numFmtId="164" fontId="6" fillId="0" borderId="0" pivotButton="0" quotePrefix="0" xfId="0"/>
    <xf numFmtId="17" fontId="6" fillId="0" borderId="0" applyAlignment="1" pivotButton="0" quotePrefix="0" xfId="0">
      <alignment horizontal="center" vertical="center"/>
    </xf>
    <xf numFmtId="0" fontId="5" fillId="0" borderId="0" applyAlignment="1" pivotButton="0" quotePrefix="0" xfId="0">
      <alignment horizontal="center" vertical="center"/>
    </xf>
    <xf numFmtId="0" fontId="5" fillId="0" borderId="2" pivotButton="0" quotePrefix="0" xfId="0"/>
    <xf numFmtId="168" fontId="5" fillId="0" borderId="2" pivotButton="0" quotePrefix="0" xfId="0"/>
    <xf numFmtId="0" fontId="5" fillId="0" borderId="2" applyAlignment="1" pivotButton="0" quotePrefix="0" xfId="0">
      <alignment horizontal="center" vertical="center"/>
    </xf>
    <xf numFmtId="164" fontId="5" fillId="0" borderId="2" pivotButton="0" quotePrefix="0" xfId="0"/>
    <xf numFmtId="0" fontId="8" fillId="0" borderId="0" pivotButton="0" quotePrefix="0" xfId="0"/>
    <xf numFmtId="165" fontId="6" fillId="0" borderId="0" pivotButton="0" quotePrefix="0" xfId="0"/>
    <xf numFmtId="168" fontId="6" fillId="0" borderId="0" pivotButton="0" quotePrefix="0" xfId="0"/>
    <xf numFmtId="0" fontId="7" fillId="0" borderId="0" applyAlignment="1" pivotButton="0" quotePrefix="0" xfId="0">
      <alignment horizontal="center" vertical="center"/>
    </xf>
    <xf numFmtId="164" fontId="7" fillId="0" borderId="0" pivotButton="0" quotePrefix="0" xfId="0"/>
    <xf numFmtId="166" fontId="6" fillId="0" borderId="0" pivotButton="0" quotePrefix="0" xfId="0"/>
    <xf numFmtId="164" fontId="5" fillId="0" borderId="0" pivotButton="0" quotePrefix="0" xfId="0"/>
    <xf numFmtId="168" fontId="5" fillId="5" borderId="2" pivotButton="0" quotePrefix="0" xfId="0"/>
    <xf numFmtId="165" fontId="5" fillId="5" borderId="2" pivotButton="0" quotePrefix="0" xfId="0"/>
    <xf numFmtId="164" fontId="5" fillId="5" borderId="2" pivotButton="0" quotePrefix="0" xfId="0"/>
    <xf numFmtId="166" fontId="5" fillId="5" borderId="2" pivotButton="0" quotePrefix="0" xfId="0"/>
    <xf numFmtId="168" fontId="5" fillId="0" borderId="0" pivotButton="0" quotePrefix="0" xfId="0"/>
    <xf numFmtId="164" fontId="9" fillId="0" borderId="0" pivotButton="0" quotePrefix="0" xfId="0"/>
    <xf numFmtId="164" fontId="10" fillId="0" borderId="2" pivotButton="0" quotePrefix="0" xfId="0"/>
    <xf numFmtId="165" fontId="5" fillId="0" borderId="2" pivotButton="0" quotePrefix="0" xfId="0"/>
    <xf numFmtId="0" fontId="5" fillId="0" borderId="3" pivotButton="0" quotePrefix="0" xfId="0"/>
    <xf numFmtId="164" fontId="5" fillId="0" borderId="3" pivotButton="0" quotePrefix="0" xfId="0"/>
    <xf numFmtId="164" fontId="10" fillId="0" borderId="3" pivotButton="0" quotePrefix="0" xfId="0"/>
    <xf numFmtId="165" fontId="5" fillId="0" borderId="3" pivotButton="0" quotePrefix="0" xfId="0"/>
    <xf numFmtId="169" fontId="6" fillId="0" borderId="0" pivotButton="0" quotePrefix="0" xfId="0"/>
    <xf numFmtId="172" fontId="6" fillId="0" borderId="0" applyAlignment="1" pivotButton="0" quotePrefix="0" xfId="0">
      <alignment horizontal="center" vertical="center"/>
    </xf>
    <xf numFmtId="168" fontId="5" fillId="4" borderId="0" applyAlignment="1" pivotButton="0" quotePrefix="0" xfId="0">
      <alignment horizontal="center" vertical="center"/>
    </xf>
    <xf numFmtId="0" fontId="5" fillId="3" borderId="0" applyAlignment="1" pivotButton="0" quotePrefix="0" xfId="0">
      <alignment horizontal="left" vertical="top" wrapText="1"/>
    </xf>
    <xf numFmtId="17" fontId="3" fillId="0" borderId="0" applyAlignment="1" pivotButton="0" quotePrefix="0" xfId="0">
      <alignment horizontal="center" vertical="center"/>
    </xf>
    <xf numFmtId="165" fontId="9" fillId="0" borderId="0" pivotButton="0" quotePrefix="0" xfId="0"/>
    <xf numFmtId="173" fontId="6" fillId="0" borderId="0" pivotButton="0" quotePrefix="0" xfId="0"/>
    <xf numFmtId="168" fontId="9" fillId="0" borderId="0" pivotButton="0" quotePrefix="0" xfId="0"/>
    <xf numFmtId="172" fontId="9" fillId="0" borderId="0" pivotButton="0" quotePrefix="0" xfId="0"/>
    <xf numFmtId="0" fontId="8" fillId="0" borderId="2" applyAlignment="1" pivotButton="0" quotePrefix="0" xfId="0">
      <alignment horizontal="left" vertical="top" wrapText="1"/>
    </xf>
    <xf numFmtId="164" fontId="3" fillId="0" borderId="0" pivotButton="0" quotePrefix="0" xfId="0"/>
    <xf numFmtId="165" fontId="3" fillId="0" borderId="0" pivotButton="0" quotePrefix="0" xfId="0"/>
    <xf numFmtId="0" fontId="5" fillId="5" borderId="3" pivotButton="0" quotePrefix="0" xfId="0"/>
    <xf numFmtId="0" fontId="8" fillId="0" borderId="3" applyAlignment="1" pivotButton="0" quotePrefix="0" xfId="0">
      <alignment horizontal="left" vertical="top" wrapText="1"/>
    </xf>
    <xf numFmtId="164" fontId="5" fillId="5" borderId="3" pivotButton="0" quotePrefix="0" xfId="0"/>
    <xf numFmtId="0" fontId="5" fillId="4" borderId="3" pivotButton="0" quotePrefix="0" xfId="0"/>
    <xf numFmtId="164" fontId="5" fillId="4" borderId="3" pivotButton="0" quotePrefix="0" xfId="0"/>
    <xf numFmtId="170" fontId="3" fillId="0" borderId="0" pivotButton="0" quotePrefix="0" xfId="0"/>
    <xf numFmtId="164" fontId="5" fillId="5" borderId="0" pivotButton="0" quotePrefix="0" xfId="0"/>
    <xf numFmtId="170" fontId="6" fillId="0" borderId="0" pivotButton="0" quotePrefix="0" xfId="0"/>
    <xf numFmtId="165" fontId="5" fillId="4" borderId="0" pivotButton="0" quotePrefix="0" xfId="0"/>
    <xf numFmtId="170" fontId="5" fillId="0" borderId="0" pivotButton="0" quotePrefix="0" xfId="0"/>
    <xf numFmtId="170" fontId="6" fillId="0" borderId="0" applyAlignment="1" pivotButton="0" quotePrefix="0" xfId="0">
      <alignment horizontal="center" vertical="center"/>
    </xf>
    <xf numFmtId="164" fontId="9" fillId="4" borderId="0" pivotButton="0" quotePrefix="0" xfId="0"/>
    <xf numFmtId="164" fontId="5" fillId="4" borderId="0" pivotButton="0" quotePrefix="0" xfId="0"/>
    <xf numFmtId="165" fontId="5" fillId="4" borderId="2" pivotButton="0" quotePrefix="0" xfId="0"/>
    <xf numFmtId="170" fontId="5" fillId="0" borderId="2" pivotButton="0" quotePrefix="0" xfId="0"/>
    <xf numFmtId="165" fontId="5" fillId="4" borderId="3" pivotButton="0" quotePrefix="0" xfId="0"/>
    <xf numFmtId="170" fontId="5" fillId="4" borderId="3" pivotButton="0" quotePrefix="0" xfId="0"/>
    <xf numFmtId="169" fontId="7" fillId="0" borderId="0" applyAlignment="1" pivotButton="0" quotePrefix="0" xfId="0">
      <alignment horizontal="center" vertical="center"/>
    </xf>
    <xf numFmtId="165" fontId="5" fillId="0" borderId="0" pivotButton="0" quotePrefix="0" xfId="0"/>
    <xf numFmtId="169" fontId="5" fillId="3" borderId="0" applyAlignment="1" pivotButton="0" quotePrefix="0" xfId="0">
      <alignment horizontal="center" vertical="center"/>
    </xf>
    <xf numFmtId="165" fontId="6" fillId="0" borderId="1" applyAlignment="1" pivotButton="0" quotePrefix="0" xfId="0">
      <alignment horizontal="center" vertical="center"/>
    </xf>
    <xf numFmtId="169" fontId="3" fillId="0" borderId="0" pivotButton="0" quotePrefix="0" xfId="0"/>
    <xf numFmtId="165" fontId="5" fillId="0" borderId="1" applyAlignment="1" pivotButton="0" quotePrefix="0" xfId="0">
      <alignment horizontal="center" vertical="center"/>
    </xf>
    <xf numFmtId="165" fontId="5" fillId="4" borderId="1" applyAlignment="1" pivotButton="0" quotePrefix="0" xfId="0">
      <alignment horizontal="center" vertical="center"/>
    </xf>
    <xf numFmtId="170" fontId="6"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left" vertical="top" wrapText="1"/>
    </xf>
    <xf numFmtId="0" fontId="7" fillId="0" borderId="0" pivotButton="0" quotePrefix="0" xfId="0"/>
    <xf numFmtId="0" fontId="0" fillId="3" borderId="0" pivotButton="0" quotePrefix="0" xfId="0"/>
    <xf numFmtId="168" fontId="6" fillId="0" borderId="1" applyAlignment="1" pivotButton="0" quotePrefix="0" xfId="0">
      <alignment horizontal="center" vertical="center"/>
    </xf>
    <xf numFmtId="0" fontId="8" fillId="0" borderId="1" applyAlignment="1" pivotButton="0" quotePrefix="0" xfId="0">
      <alignment horizontal="left" vertical="top" wrapText="1"/>
    </xf>
    <xf numFmtId="0" fontId="6" fillId="0" borderId="1" applyAlignment="1" pivotButton="0" quotePrefix="0" xfId="0">
      <alignment horizontal="left" vertical="top" wrapText="1"/>
    </xf>
    <xf numFmtId="0" fontId="5" fillId="4"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52"/>
  <sheetViews>
    <sheetView showGridLines="0" workbookViewId="0">
      <selection activeCell="A1" sqref="A1"/>
    </sheetView>
  </sheetViews>
  <sheetFormatPr baseColWidth="8" defaultRowHeight="15"/>
  <cols>
    <col width="34" customWidth="1" min="1" max="1"/>
    <col width="108" customWidth="1" min="2" max="2"/>
  </cols>
  <sheetData>
    <row r="1">
      <c r="A1" s="1" t="inlineStr">
        <is>
          <t>CHATEAU IN THE WOODS  |  4020 Monaco Drive, Indianapolis, IN 46220  |  118 Units</t>
        </is>
      </c>
    </row>
    <row r="2">
      <c r="A2" s="2" t="inlineStr">
        <is>
          <t>Five-Year Cash Flow Model — Read Me, Deliverable Index &amp; Material Assumptions</t>
        </is>
      </c>
    </row>
    <row r="3">
      <c r="A3" s="3" t="inlineStr">
        <is>
          <t>Blue = hardcoded input / lever   ·   Black = formula   ·   Green = link to another sheet   ·   Yellow fill = key assumption</t>
        </is>
      </c>
    </row>
    <row r="5">
      <c r="A5" s="4" t="inlineStr">
        <is>
          <t>HOW THIS MODEL WORKS</t>
        </is>
      </c>
      <c r="B5" s="5" t="n"/>
    </row>
    <row r="6" ht="30" customHeight="1">
      <c r="A6" s="6" t="inlineStr">
        <is>
          <t>Single source of drivers</t>
        </is>
      </c>
      <c r="B6" s="7" t="inlineStr">
        <is>
          <t>Every economic assumption lives on the 'Assumptions' tab. All projection cells are formulas; changing a driver recalculates the model end-to-end, including the returns and both sensitivity grids.</t>
        </is>
      </c>
    </row>
    <row r="7" ht="30" customHeight="1">
      <c r="A7" s="6" t="inlineStr">
        <is>
          <t>Model periodicity</t>
        </is>
      </c>
      <c r="B7" s="7" t="inlineStr">
        <is>
          <t>Annual (Year 1 – Year 5) operating model, driven by a 60-month renovation / downtime schedule on the 'Reno Schedule' tab. Month 1 = August 2026 (rent roll is dated 07/01/2026).</t>
        </is>
      </c>
    </row>
    <row r="8" ht="30" customHeight="1">
      <c r="A8" s="6" t="inlineStr">
        <is>
          <t>Revenue engine</t>
        </is>
      </c>
      <c r="B8" s="7" t="inlineStr">
        <is>
          <t>Gross potential rent is built unit-by-unit from the 07/01/2026 rent roll: classic units carry in-place market rent, renovated units carry market rent plus the renovation premium, and units convert as the renovation schedule completes them.</t>
        </is>
      </c>
    </row>
    <row r="9" ht="30" customHeight="1">
      <c r="A9" s="6" t="inlineStr">
        <is>
          <t>Data hierarchy</t>
        </is>
      </c>
      <c r="B9" s="7" t="inlineStr">
        <is>
          <t>Per the case instructions, the Excel rent roll and T-12 govern wherever they conflict with the Offering Memorandum. The OM is used only for facts the Excel files do not contain (unit W/D inventory, rent comps, tax analysis, physical condition, other-income policy detail).</t>
        </is>
      </c>
    </row>
    <row r="10" ht="30" customHeight="1">
      <c r="A10" s="6" t="inlineStr">
        <is>
          <t>Capital funding convention</t>
        </is>
      </c>
      <c r="B10" s="7" t="inlineStr">
        <is>
          <t>All renovation and property capital is funded at closing through Sources &amp; Uses (65% loan / 35% equity). Annual cash flow therefore deducts interest and replacement reserves only, and does not double-count capex. This is conservative — it puts the full equity out on day one with no timing benefit.</t>
        </is>
      </c>
    </row>
    <row r="12">
      <c r="A12" s="4" t="inlineStr">
        <is>
          <t>TAB INDEX</t>
        </is>
      </c>
      <c r="B12" s="5" t="n"/>
    </row>
    <row r="13">
      <c r="A13" s="6" t="inlineStr">
        <is>
          <t>Assumptions</t>
        </is>
      </c>
      <c r="B13" s="7" t="inlineStr">
        <is>
          <t>All inputs and levers. Purchase price, growth, renovation scope, expenses, debt, exit.</t>
        </is>
      </c>
    </row>
    <row r="14">
      <c r="A14" s="6" t="inlineStr">
        <is>
          <t>Rent Roll</t>
        </is>
      </c>
      <c r="B14" s="7" t="inlineStr">
        <is>
          <t>All 118 units from the 07/01/2026 rent roll, with case status rules and per-unit renovation scope applied.</t>
        </is>
      </c>
    </row>
    <row r="15">
      <c r="A15" s="6" t="inlineStr">
        <is>
          <t>Unit Mix</t>
        </is>
      </c>
      <c r="B15" s="7" t="inlineStr">
        <is>
          <t>Floor-plan roll-up: in-place market rents, W/D inventory, renovation cost and premium, renovated rents.</t>
        </is>
      </c>
    </row>
    <row r="16">
      <c r="A16" s="6" t="inlineStr">
        <is>
          <t>T-12 Recast</t>
        </is>
      </c>
      <c r="B16" s="7" t="inlineStr">
        <is>
          <t>T-12 (Feb-25 to Jan-26) actuals mapped to underwriting line items, with the Year-1 underwritten figure and variance.</t>
        </is>
      </c>
    </row>
    <row r="17">
      <c r="A17" s="6" t="inlineStr">
        <is>
          <t>Other Income</t>
        </is>
      </c>
      <c r="B17" s="7" t="inlineStr">
        <is>
          <t>Line-by-line other-income build off T-12 actuals plus the identified ancillary upside, with implementation ramps.</t>
        </is>
      </c>
    </row>
    <row r="18">
      <c r="A18" s="6" t="inlineStr">
        <is>
          <t>Capex Budget</t>
        </is>
      </c>
      <c r="B18" s="7" t="inlineStr">
        <is>
          <t>Non-unit capital: deferred maintenance, building systems and amenity scope, phased by year.</t>
        </is>
      </c>
    </row>
    <row r="19">
      <c r="A19" s="6" t="inlineStr">
        <is>
          <t>Reno Schedule</t>
        </is>
      </c>
      <c r="B19" s="7" t="inlineStr">
        <is>
          <t>60-month renovation schedule: units completed, capex spend, and renovation downtime vacancy.</t>
        </is>
      </c>
    </row>
    <row r="20">
      <c r="A20" s="6" t="inlineStr">
        <is>
          <t>Annual Model</t>
        </is>
      </c>
      <c r="B20" s="7" t="inlineStr">
        <is>
          <t>The five-year cash flow: revenue build, operating expenses, NOI, capital and cash flow to equity.</t>
        </is>
      </c>
    </row>
    <row r="21">
      <c r="A21" s="6" t="inlineStr">
        <is>
          <t>Returns</t>
        </is>
      </c>
      <c r="B21" s="7" t="inlineStr">
        <is>
          <t>Sources &amp; Uses, debt, exit valuation, unlevered and levered IRR / equity multiple / cash-on-cash.</t>
        </is>
      </c>
    </row>
    <row r="22">
      <c r="A22" s="6" t="inlineStr">
        <is>
          <t>Sensitivities</t>
        </is>
      </c>
      <c r="B22" s="7" t="inlineStr">
        <is>
          <t>Live grids: purchase price × exit cap (IRR and multiple) and renovation premium × exit cap.</t>
        </is>
      </c>
    </row>
    <row r="23">
      <c r="A23" s="6" t="inlineStr">
        <is>
          <t>DD Questions</t>
        </is>
      </c>
      <c r="B23" s="7" t="inlineStr">
        <is>
          <t>Diligence request list, with the placeholder answer assumed in this model for each open item.</t>
        </is>
      </c>
    </row>
    <row r="25">
      <c r="A25" s="4" t="inlineStr">
        <is>
          <t>MATERIAL ASSUMPTIONS — NOT PROVIDED IN THE CASE MATERIALS</t>
        </is>
      </c>
      <c r="B25" s="5" t="n"/>
    </row>
    <row r="26">
      <c r="A26" s="8" t="inlineStr">
        <is>
          <t>Item</t>
        </is>
      </c>
      <c r="B26" s="8" t="inlineStr">
        <is>
          <t>Assumption and basis</t>
        </is>
      </c>
    </row>
    <row r="27" ht="46" customHeight="1">
      <c r="A27" s="9" t="inlineStr">
        <is>
          <t>Purchase price — the answer, not an input</t>
        </is>
      </c>
      <c r="B27" s="7" t="inlineStr">
        <is>
          <t>$12,000,000 ($101,695/unit). The case states no price, so the model SOLVES for one: the highest basis at which the five-year plan clears a 14% levered IRR and a 1.80x multiple on the conservative case. For reference the asset actually traded on 12 June 2026 for $13,625,000 ($115,466/unit) per the Marion County deed record (special warranty deed, assessor validity flag 'Y'), 12% above our bid, where the same plan returns 7.9% and 1.42x.</t>
        </is>
      </c>
    </row>
    <row r="28" ht="46" customHeight="1">
      <c r="A28" s="9" t="inlineStr">
        <is>
          <t>Renovation scope, premium and the two-track programme</t>
        </is>
      </c>
      <c r="B28" s="7" t="inlineStr">
        <is>
          <t>TRACK A — the 53 units that already have laundry are renovated IN PLACE at 10 a month from month 2: no permit (cosmetic work is exempt in Marion County), no vacancy loss, $10,000/unit for a lighter scope, a $100/month premium captured at the next renewal (6-month lag). TRACK B — the 65 units gaining laundry need a state Construction Design Release plus a local permit AND a vacant unit, so they run at natural turnover, 5 a month from month 4, $13,000 interior plus the case-prescribed $5,000 laundry addition, a $200/month premium captured immediately, 14 days of incremental downtime. Blended $14,407/unit at $155/month = 12.9% return on cost, all 118 units complete in month 16 without forcing a single resident out. A single-track plan at 5 a month would take 27 months for the same result.</t>
        </is>
      </c>
    </row>
    <row r="29" ht="46" customHeight="1">
      <c r="A29" s="9" t="inlineStr">
        <is>
          <t>Renovated rent support</t>
        </is>
      </c>
      <c r="B29" s="7" t="inlineStr">
        <is>
          <t>Renovated rents of $1,250 (1x1) to $1,725 (3x2) sit inside the OM rent comp set. Avalon Lake (1974, same vintage, Graham Rd &amp; Binford) achieves $1,178 / $1,655 / $1,834 for 1/2/3-bedrooms; submarket averages are $1,044 / $1,305 / $1,597. CBRE's own light-touch Upgrade Forecast is $1,094-$1,631 with a $50 premium and $1,375 on the Verdun with a W/D added.</t>
        </is>
      </c>
    </row>
    <row r="30" ht="46" customHeight="1">
      <c r="A30" s="9" t="inlineStr">
        <is>
          <t>Permit path</t>
        </is>
      </c>
      <c r="B30" s="7" t="inlineStr">
        <is>
          <t>Indiana permits multifamily in two sequential steps: multifamily is a Class 1 structure requiring a STATE Construction Design Release from IDHS (10-business-day clock, 15-20 business days typical first review) BEFORE the local Marion County DBNS permit (5-20 days) can issue — roughly 8-12 weeks from closing once design time is included, which is why Track B starts in month 4. Cosmetic work is exempt, which is what lets Track A start in month 2. On a five-year hold permit timing is not a returns risk; the risk is scope discovery — if the 65 units need panel or riser upgrades the $5,000 allowance breaks.</t>
        </is>
      </c>
    </row>
    <row r="31" ht="46" customHeight="1">
      <c r="A31" s="9" t="inlineStr">
        <is>
          <t>Market rent growth</t>
        </is>
      </c>
      <c r="B31" s="7" t="inlineStr">
        <is>
          <t>1.5% / 2.0% / 2.5% / 3.0% / 3.0%, applied on a mid-year convention. Set off ACTUALS rather than a forecast: Yardi Matrix 1Q-2026 reports Indianapolis rents FLAT on a trailing-three-month basis at $1,310 and up only 1.1% year over year, and 2025 construction starts MORE THAN DOUBLED versus 2024 — that wave delivers in 2027-28, inside our hold, with Carmel alone taking more than half of 2026 metro deliveries immediately north of this asset. Year 1 sits slightly above the 1.1% actual, Year 2 is held down by the delivery wave, and 3.0% is reached only once it clears. A flat 3.0% would add roughly 3 points of levered IRR and is not supportable on current evidence.</t>
        </is>
      </c>
    </row>
    <row r="32" ht="46" customHeight="1">
      <c r="A32" s="9" t="inlineStr">
        <is>
          <t>Real estate taxes — corrected against the public record</t>
        </is>
      </c>
      <c r="B32" s="7" t="inlineStr">
        <is>
          <t>$137,000 in Year 1 growing 4% to $160,300 by Year 5, set off the ACTUAL Marion County bill. Parcel 8000002 paid $129,648 in 2025 on a $5,214,932 net assessed value at 2.4861%. The 25-year record on the 'Tax Record' tab shows assessed value range-bound at $5.1-6.6mm every year since 2012 (0.36% a year), the last assessment change recorded 15 March 2022, and — decisively — assessed value FELL the year after the March 2006 sale. Indiana values apartments at the lowest of the income, market and cost approaches, which is why assessed value does not track trade prices here. An earlier draft stepped taxes to a share of the purchase price; the record does not support that, and correcting it is worth about 1.5 points of levered IRR. The reassessment risk is still priced explicitly in Ladder C on the Sensitivities tab.</t>
        </is>
      </c>
    </row>
    <row r="33" ht="46" customHeight="1">
      <c r="A33" s="9" t="inlineStr">
        <is>
          <t>Stabilised vacancy</t>
        </is>
      </c>
      <c r="B33" s="7" t="inlineStr">
        <is>
          <t>5.5% operating physical vacancy (94.5% occupancy) plus renovation downtime, against a 94.0% metro figure and a 6.8% T-12 actual. CBRE forecasts 5.0%. The half-point of conservatism reflects the 2027-28 delivery wave and Carmel's share of it.</t>
        </is>
      </c>
    </row>
    <row r="34" ht="46" customHeight="1">
      <c r="A34" s="9" t="inlineStr">
        <is>
          <t>Insurance</t>
        </is>
      </c>
      <c r="B34" s="7" t="inlineStr">
        <is>
          <t>$95,000 in Year 1 ($805/unit) growing 5%, versus $94,611 T-12 actual and CBRE's $88,326 forecast. No current loss run or bindable quote was provided.</t>
        </is>
      </c>
    </row>
    <row r="35" ht="46" customHeight="1">
      <c r="A35" s="9" t="inlineStr">
        <is>
          <t>Bad debt</t>
        </is>
      </c>
      <c r="B35" s="7" t="inlineStr">
        <is>
          <t>1.50% of GPR in Year 1 falling to 1.00% by Year 4. The T-12 shows $28,229 of gross bad debt against $19,050 of collections (net $9,179, 0.5%), but write-offs are accelerating (Jan-26 alone was $5,670) and the rent roll carries 4 units in eviction and 8 on notice.</t>
        </is>
      </c>
    </row>
    <row r="36" ht="46" customHeight="1">
      <c r="A36" s="9" t="inlineStr">
        <is>
          <t>Exit</t>
        </is>
      </c>
      <c r="B36" s="7" t="inlineStr">
        <is>
          <t>6.75% cap rate on forward (Year 6) NOI, 1.5% cost of sale, at the end of Year 5. Fifteen basis points inside the 6.90% going-in cap, reflecting a fully renovated asset with in-unit laundry throughout versus the classic condition being acquired.</t>
        </is>
      </c>
    </row>
    <row r="37" ht="46" customHeight="1">
      <c r="A37" s="9" t="inlineStr">
        <is>
          <t>Debt</t>
        </is>
      </c>
      <c r="B37" s="7" t="inlineStr">
        <is>
          <t>65% loan-to-cost on price plus all capital, 5.85% fixed, interest-only, 5-year term, 1% origination. Sized to a 10.4% Year-1 debt yield and a 1.38x Year-1 DSCR. No financing terms were provided.</t>
        </is>
      </c>
    </row>
    <row r="38" ht="46" customHeight="1">
      <c r="A38" s="9" t="inlineStr">
        <is>
          <t>A number we could not source</t>
        </is>
      </c>
      <c r="B38" s="7" t="inlineStr">
        <is>
          <t>An earlier draft compared our renovated rents to a '$1.40 per square foot' metro average. Yardi Matrix publishes a $1,310 average asking rent per unit but not a per-foot figure, so that comparison was an inference presented as data and has been removed. What can be said from the source: our Year-5 portfolio average of $1,627 per unit is about 10% above the $1,310 metro average grown at the same rates, which is what you would expect for a property whose units average 1,139 SF against a materially smaller metro average.</t>
        </is>
      </c>
    </row>
    <row r="39" ht="46" customHeight="1">
      <c r="A39" s="9" t="inlineStr">
        <is>
          <t>Excluded upside</t>
        </is>
      </c>
      <c r="B39" s="7" t="inlineStr">
        <is>
          <t>Not underwritten: converting the Building 4042 maintenance storage into two additional units, and converting 9 carports to garages. Both are real but return roughly 5-10% on cost, below the interior programme, and neither is needed for the recommendation.</t>
        </is>
      </c>
    </row>
    <row r="41">
      <c r="A41" s="4" t="inlineStr">
        <is>
          <t>UNDERWRITING POSTURE</t>
        </is>
      </c>
      <c r="B41" s="5" t="n"/>
    </row>
    <row r="42" ht="40" customHeight="1">
      <c r="A42" s="6" t="inlineStr">
        <is>
          <t>Conservative on what we do not control</t>
        </is>
      </c>
      <c r="B42" s="7" t="inlineStr">
        <is>
          <t>Rent growth, exit cap, real estate taxes and insurance are all set at or below observable market evidence. These are forecasts, not decisions, and paying for them is how a basis gets away from you.</t>
        </is>
      </c>
    </row>
    <row r="43" ht="40" customHeight="1">
      <c r="A43" s="6" t="inlineStr">
        <is>
          <t>Confident on what we do control</t>
        </is>
      </c>
      <c r="B43" s="7" t="inlineStr">
        <is>
          <t>The renovation premium, the ancillary income build, expense management and the renovation pace are underwritten at what a competent operator should deliver — not haircut for the sake of it. The premium is still sensitised from $125 to $190 because it is unproven on this asset.</t>
        </is>
      </c>
    </row>
    <row r="44" ht="40" customHeight="1">
      <c r="A44" s="6" t="inlineStr">
        <is>
          <t>The model answers a bid, not a justification</t>
        </is>
      </c>
      <c r="B44" s="7" t="inlineStr">
        <is>
          <t>It solves for the highest price at which the business plan clears a 14% levered IRR and a 1.8x multiple under the conservative case. It is not reverse-engineered to make the asking price work. On this deal those two questions give very different answers, which is the whole finding.</t>
        </is>
      </c>
    </row>
    <row r="45" ht="40" customHeight="1">
      <c r="A45" s="6" t="inlineStr">
        <is>
          <t>Expect to lose the deal</t>
        </is>
      </c>
      <c r="B45" s="7" t="inlineStr">
        <is>
          <t>At $11.25mm this is a 21% discount to the implied ask. We should expect to be outbid by a buyer with a lower cost of capital or a more aggressive rent view. Losing at the right price is a better outcome than winning at the wrong one — the renovation cannot fix a basis mistake.</t>
        </is>
      </c>
    </row>
    <row r="47">
      <c r="A47" s="4" t="inlineStr">
        <is>
          <t>CONFLICTS BETWEEN SOURCES — AND HOW THEY WERE RESOLVED</t>
        </is>
      </c>
      <c r="B47" s="5" t="n"/>
    </row>
    <row r="48" ht="46" customHeight="1">
      <c r="A48" s="6" t="inlineStr">
        <is>
          <t>In-unit washer/dryer count</t>
        </is>
      </c>
      <c r="B48" s="7" t="inlineStr">
        <is>
          <t>The OM says '78 out of 118 units have a full size or stackable washer/dryer' but then lists only 53 side-by-side plus 1 stackable = 54, and its own floor-plan and building-mix schedules foot to 54 units with 'WD' in the unit code. The rent roll shows 53 units in a 'w/ WD' unit type (Rhone 15, Roman 4, Cabernet 4, Brunswick 30). Per the data hierarchy the rent roll governs: 53 units have laundry, 65 do not and carry the $5,000 addition. This is a confirmatory diligence item.</t>
        </is>
      </c>
    </row>
    <row r="49" ht="46" customHeight="1">
      <c r="A49" s="6" t="inlineStr">
        <is>
          <t>Bordeaux washer/dryer unit</t>
        </is>
      </c>
      <c r="B49" s="7" t="inlineStr">
        <is>
          <t>The OM identifies one Bordeaux (4017-D) with a stackable washer/dryer at a $1,307 market rent. The rent roll shows all 25 Bordeaux units at a $1,260 market rent in a single 'Bordeaux' unit type. The rent roll governs, so 4017-D is underwritten as needing the $5,000 addition — conservative by $5,000.</t>
        </is>
      </c>
    </row>
    <row r="50" ht="46" customHeight="1">
      <c r="A50" s="6" t="inlineStr">
        <is>
          <t>Market rents</t>
        </is>
      </c>
      <c r="B50" s="7" t="inlineStr">
        <is>
          <t>OM floor-plan mix (dated 09/08/2025) shows $1,044 / $1,109 / $1,174 / $1,343 / $1,212 / $1,257 / $1,581. The 07/01/2026 rent roll shows $1,050 / $1,125 / $1,165 / $1,350 / $1,250 / $1,260 / $1,600. The rent roll governs; it is also nine months newer.</t>
        </is>
      </c>
    </row>
    <row r="51" ht="46" customHeight="1">
      <c r="A51" s="6" t="inlineStr">
        <is>
          <t>Occupancy</t>
        </is>
      </c>
      <c r="B51" s="7" t="inlineStr">
        <is>
          <t>The OM shows 105 occupied / 13 vacant as of 09/08/2025. The 07/01/2026 rent roll shows 114 occupied / 4 vacant (96.6%) after applying the case rules that 'Notice' and 'Evict' count as occupied. The rent roll governs.</t>
        </is>
      </c>
    </row>
    <row r="52" ht="46" customHeight="1">
      <c r="A52" s="6" t="inlineStr">
        <is>
          <t>Trailing twelve months</t>
        </is>
      </c>
      <c r="B52" s="7" t="inlineStr">
        <is>
          <t>The OM's T-12 is August 2024 - July 2025 ($1,774,433 revenue / $799,669 NOI). The Excel T-12 provided is February 2025 - January 2026 ($1,790,101 revenue / $772,374 NOI on the property's own basis). The Excel T-12 governs and is recast on the 'T-12 Recast' tab.</t>
        </is>
      </c>
    </row>
  </sheetData>
  <mergeCells count="5">
    <mergeCell ref="A25:B25"/>
    <mergeCell ref="A41:B41"/>
    <mergeCell ref="A47:B47"/>
    <mergeCell ref="A5:B5"/>
    <mergeCell ref="A12:B12"/>
  </mergeCells>
  <printOptions horizontalCentered="0"/>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9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2" customWidth="1" min="3" max="3"/>
    <col width="12" customWidth="1" min="4" max="4"/>
    <col width="12" customWidth="1" min="5" max="5"/>
    <col width="12" customWidth="1" min="6" max="6"/>
    <col width="12" customWidth="1" min="7" max="7"/>
    <col width="62" customWidth="1" min="8" max="8"/>
  </cols>
  <sheetData>
    <row r="1">
      <c r="A1" s="1" t="inlineStr">
        <is>
          <t>CHATEAU IN THE WOODS  |  4020 Monaco Drive, Indianapolis, IN 46220  |  118 Units</t>
        </is>
      </c>
    </row>
    <row r="2">
      <c r="A2" s="2" t="inlineStr">
        <is>
          <t>Underwriting Assumptions &amp; Drivers</t>
        </is>
      </c>
    </row>
    <row r="3">
      <c r="A3" s="3" t="inlineStr">
        <is>
          <t>Blue = hardcoded input / lever   ·   Black = formula   ·   Green = link to another sheet   ·   Yellow fill = key assumption</t>
        </is>
      </c>
    </row>
    <row r="5">
      <c r="A5" s="4" t="inlineStr">
        <is>
          <t>TRANSACTION</t>
        </is>
      </c>
      <c r="B5" s="5" t="n"/>
      <c r="C5" s="5" t="n"/>
      <c r="D5" s="5" t="n"/>
      <c r="E5" s="5" t="n"/>
      <c r="F5" s="5" t="n"/>
      <c r="G5" s="5" t="n"/>
      <c r="H5" s="5" t="n"/>
    </row>
    <row r="6">
      <c r="A6" s="10" t="inlineStr">
        <is>
          <t>Purchase Price (our bid)</t>
        </is>
      </c>
      <c r="B6" s="11" t="n">
        <v>12000000</v>
      </c>
      <c r="H6" s="12" t="inlineStr">
        <is>
          <t>THIS IS THE ANSWER THE MODEL SOLVES FOR, not an input we were given. It is the maximum price at which the five-year plan clears a 14% levered IRR and a 1.80x multiple on the conservative case. See the Sensitivities tab for the live price ladder and breakeven table.</t>
        </is>
      </c>
    </row>
    <row r="7">
      <c r="A7" s="10" t="inlineStr">
        <is>
          <t>Memo: Actual Trade Price</t>
        </is>
      </c>
      <c r="B7" s="11" t="n">
        <v>13625000</v>
      </c>
      <c r="H7" s="12" t="inlineStr">
        <is>
          <t>Marion County deed dated 06/12/2026, recorded 06/26/2026, special warranty deed, assessor validity flag 'Y' (arm's length). $115,466/unit. Prior trade 03/28/2006 at $4,400,000 was flagged 'N' (not a valid market sale). Shown for benchmarking only — it does not drive the model.</t>
        </is>
      </c>
    </row>
    <row r="8">
      <c r="A8" s="10" t="inlineStr">
        <is>
          <t xml:space="preserve">  Our Bid vs Actual Trade</t>
        </is>
      </c>
      <c r="B8" s="13">
        <f>Assumptions!$B$6/Assumptions!$B$7-1</f>
        <v/>
      </c>
    </row>
    <row r="9">
      <c r="A9" s="10" t="inlineStr">
        <is>
          <t xml:space="preserve">  Price per Unit</t>
        </is>
      </c>
      <c r="B9" s="14">
        <f>Assumptions!$B$6/Assumptions!$B$19</f>
        <v/>
      </c>
    </row>
    <row r="10">
      <c r="A10" s="10" t="inlineStr">
        <is>
          <t xml:space="preserve">  Price per Net Rentable SF</t>
        </is>
      </c>
      <c r="B10" s="15">
        <f>Assumptions!$B$6/Assumptions!$B$20</f>
        <v/>
      </c>
    </row>
    <row r="11">
      <c r="A11" s="10" t="inlineStr">
        <is>
          <t>Acquisition Costs (% of price)</t>
        </is>
      </c>
      <c r="B11" s="16" t="n">
        <v>0.015</v>
      </c>
      <c r="H11" s="12" t="inlineStr">
        <is>
          <t>Title, survey, legal, third-party reports, transfer costs.</t>
        </is>
      </c>
    </row>
    <row r="12">
      <c r="A12" s="10" t="inlineStr">
        <is>
          <t>Analysis Start (Month 1)</t>
        </is>
      </c>
      <c r="B12" s="17" t="inlineStr">
        <is>
          <t>2026-08-01</t>
        </is>
      </c>
      <c r="H12" s="12" t="inlineStr">
        <is>
          <t>Rent roll is dated 07/01/2026; assumes an August 2026 close.</t>
        </is>
      </c>
    </row>
    <row r="13">
      <c r="A13" s="10" t="inlineStr">
        <is>
          <t>Hold Period (years)</t>
        </is>
      </c>
      <c r="B13" s="18" t="n">
        <v>5</v>
      </c>
    </row>
    <row r="14">
      <c r="A14" s="10" t="inlineStr">
        <is>
          <t>Exit Cap Rate (on Year-6 NOI)</t>
        </is>
      </c>
      <c r="B14" s="19" t="n">
        <v>0.0675</v>
      </c>
      <c r="H14" s="12" t="inlineStr">
        <is>
          <t>15 bps inside the going-in cap: a fully renovated asset with in-unit laundry throughout trades tighter than the classic product being acquired.</t>
        </is>
      </c>
    </row>
    <row r="15">
      <c r="A15" s="10" t="inlineStr">
        <is>
          <t>Cost of Sale (% of gross value)</t>
        </is>
      </c>
      <c r="B15" s="16" t="n">
        <v>0.015</v>
      </c>
    </row>
    <row r="16">
      <c r="A16" s="10" t="inlineStr">
        <is>
          <t xml:space="preserve">  Implied Going-In Cap (our Year-1 NOI)</t>
        </is>
      </c>
      <c r="B16" s="20">
        <f>'Annual Model'!C51/Assumptions!$B$6</f>
        <v/>
      </c>
      <c r="H16" s="12" t="inlineStr">
        <is>
          <t>On our underwriting, not the broker's forecast. CBRE markets a 6.9% Year-1 cap rate on its own $980,838 Acquisition Forecast NOI, which is what implies the $14.2mm price above.</t>
        </is>
      </c>
    </row>
    <row r="18">
      <c r="A18" s="4" t="inlineStr">
        <is>
          <t>PROPERTY — FROM RENT ROLL 07/01/2026</t>
        </is>
      </c>
      <c r="B18" s="5" t="n"/>
      <c r="C18" s="5" t="n"/>
      <c r="D18" s="5" t="n"/>
      <c r="E18" s="5" t="n"/>
      <c r="F18" s="5" t="n"/>
      <c r="G18" s="5" t="n"/>
      <c r="H18" s="5" t="n"/>
    </row>
    <row r="19">
      <c r="A19" s="10" t="inlineStr">
        <is>
          <t>Total Units</t>
        </is>
      </c>
      <c r="B19" s="18" t="n">
        <v>118</v>
      </c>
      <c r="H19" s="12" t="inlineStr">
        <is>
          <t>Rent roll total row.</t>
        </is>
      </c>
    </row>
    <row r="20">
      <c r="A20" s="10" t="inlineStr">
        <is>
          <t>Net Rentable Square Feet</t>
        </is>
      </c>
      <c r="B20" s="18" t="n">
        <v>134371</v>
      </c>
      <c r="H20" s="12" t="inlineStr">
        <is>
          <t>Rent roll total row; ties to the OM.</t>
        </is>
      </c>
    </row>
    <row r="21">
      <c r="A21" s="10" t="inlineStr">
        <is>
          <t xml:space="preserve">  Average Unit Size (SF)</t>
        </is>
      </c>
      <c r="B21" s="21">
        <f>Assumptions!$B$20/Assumptions!$B$19</f>
        <v/>
      </c>
    </row>
    <row r="22">
      <c r="A22" s="10" t="inlineStr">
        <is>
          <t>Year Built</t>
        </is>
      </c>
      <c r="B22" s="22" t="n">
        <v>1974</v>
      </c>
      <c r="H22" s="12" t="inlineStr">
        <is>
          <t>OM Property Summary.</t>
        </is>
      </c>
    </row>
    <row r="23">
      <c r="A23" s="10" t="inlineStr">
        <is>
          <t>Occupied Units at Close</t>
        </is>
      </c>
      <c r="B23" s="18" t="n">
        <v>114</v>
      </c>
      <c r="H23" s="12" t="inlineStr">
        <is>
          <t>102 Current + 8 Notice + 4 Evict. Case rules: 'Notice' and 'Evict' are treated as Occupied.</t>
        </is>
      </c>
    </row>
    <row r="24">
      <c r="A24" s="10" t="inlineStr">
        <is>
          <t>Vacant Units at Close</t>
        </is>
      </c>
      <c r="B24" s="21">
        <f>Assumptions!$B$19-Assumptions!$B$23</f>
        <v/>
      </c>
      <c r="H24" s="12" t="inlineStr">
        <is>
          <t>All four are 'Vacant-Unrented'.</t>
        </is>
      </c>
    </row>
    <row r="25">
      <c r="A25" s="10" t="inlineStr">
        <is>
          <t xml:space="preserve">  In-Place Physical Occupancy</t>
        </is>
      </c>
      <c r="B25" s="13">
        <f>Assumptions!$B$23/Assumptions!$B$19</f>
        <v/>
      </c>
    </row>
    <row r="26">
      <c r="A26" s="10" t="inlineStr">
        <is>
          <t>In-Place Market Rent ($/month)</t>
        </is>
      </c>
      <c r="B26" s="23">
        <f>'Unit Mix'!$D$16</f>
        <v/>
      </c>
    </row>
    <row r="27">
      <c r="A27" s="10" t="inlineStr">
        <is>
          <t>In-Place Actual Rent ($/month)</t>
        </is>
      </c>
      <c r="B27" s="24" t="n">
        <v>144804.03</v>
      </c>
      <c r="H27" s="12" t="inlineStr">
        <is>
          <t>Rent roll total row. Occupied units only.</t>
        </is>
      </c>
    </row>
    <row r="28">
      <c r="A28" s="10" t="inlineStr">
        <is>
          <t xml:space="preserve">  In-Place Loss-to-Lease (occupied units)</t>
        </is>
      </c>
      <c r="B28" s="13">
        <f>1-Assumptions!$B$27/(Assumptions!$B$26-'Unit Mix'!$D$20)</f>
        <v/>
      </c>
    </row>
    <row r="29">
      <c r="A29" s="10" t="inlineStr">
        <is>
          <t>Units WITH In-Unit Washer/Dryer</t>
        </is>
      </c>
      <c r="B29" s="18" t="n">
        <v>53</v>
      </c>
      <c r="H29" s="12" t="inlineStr">
        <is>
          <t>Rent roll unit types containing 'w/ WD': Rhone 15, Roman 4, Cabernet 4, Brunswick 30.</t>
        </is>
      </c>
    </row>
    <row r="30">
      <c r="A30" s="10" t="inlineStr">
        <is>
          <t>Units WITHOUT In-Unit Washer/Dryer</t>
        </is>
      </c>
      <c r="B30" s="21">
        <f>Assumptions!$B$19-Assumptions!$B$29</f>
        <v/>
      </c>
      <c r="H30" s="12" t="inlineStr">
        <is>
          <t>Abbey 15, Verdun 25, Bordeaux 25. Each carries the $5,000 addition per the case instructions.</t>
        </is>
      </c>
    </row>
    <row r="32">
      <c r="A32" s="4" t="inlineStr">
        <is>
          <t>RENOVATION PROGRAMME — TWO TRACKS</t>
        </is>
      </c>
      <c r="B32" s="5" t="n"/>
      <c r="C32" s="5" t="n"/>
      <c r="D32" s="5" t="n"/>
      <c r="E32" s="5" t="n"/>
      <c r="F32" s="5" t="n"/>
      <c r="G32" s="5" t="n"/>
      <c r="H32" s="5" t="n"/>
    </row>
    <row r="33" ht="42" customHeight="1">
      <c r="A33" s="12" t="inlineStr">
        <is>
          <t>The 53 units that already have laundry can be renovated IN PLACE (residents stay, no permit, no vacancy loss) but the premium is only captured at the next renewal. The 65 units that need laundry added require plumbing and electrical permits and a vacant unit, so they follow natural turnover — but the premium is captured immediately on the new lease.</t>
        </is>
      </c>
    </row>
    <row r="34">
      <c r="A34" s="8" t="inlineStr">
        <is>
          <t>TRACK A — 53 units with existing in-unit laundry (in-place)</t>
        </is>
      </c>
    </row>
    <row r="35">
      <c r="A35" s="10" t="inlineStr">
        <is>
          <t xml:space="preserve">  Units</t>
        </is>
      </c>
      <c r="B35" s="25">
        <f>Assumptions!$B$29</f>
        <v/>
      </c>
      <c r="H35" s="12" t="inlineStr">
        <is>
          <t>Rent roll unit types containing 'w/ WD'.</t>
        </is>
      </c>
    </row>
    <row r="36">
      <c r="A36" s="10" t="inlineStr">
        <is>
          <t xml:space="preserve">  Start Month</t>
        </is>
      </c>
      <c r="B36" s="18" t="n">
        <v>2</v>
      </c>
      <c r="H36" s="12" t="inlineStr">
        <is>
          <t>No permit needed: cosmetic work (cabinets, counters, LVP, appliance and fixture swaps) is exempt in Marion County. Month 2 allows for GC mobilisation and a mock-up unit.</t>
        </is>
      </c>
    </row>
    <row r="37">
      <c r="A37" s="10" t="inlineStr">
        <is>
          <t xml:space="preserve">  Units per Month</t>
        </is>
      </c>
      <c r="B37" s="26" t="n">
        <v>10</v>
      </c>
      <c r="H37" s="12" t="inlineStr">
        <is>
          <t>In-place work does not consume a turn, so pace is limited by crew capacity rather than by lease expiries. 10/month across 5 buildings is one crew working 2-3 days per unit.</t>
        </is>
      </c>
    </row>
    <row r="38">
      <c r="A38" s="10" t="inlineStr">
        <is>
          <t xml:space="preserve">  Cost per Unit</t>
        </is>
      </c>
      <c r="B38" s="24" t="n">
        <v>10000</v>
      </c>
      <c r="H38" s="12" t="inlineStr">
        <is>
          <t>Lighter than a vacant-unit scope because floors under furniture and some millwork stay: cabinet refacing and paint, counters, appliances, lighting and plumbing fixtures, hardware.</t>
        </is>
      </c>
    </row>
    <row r="39">
      <c r="A39" s="10" t="inlineStr">
        <is>
          <t xml:space="preserve">  Rent Premium ($/month)</t>
        </is>
      </c>
      <c r="B39" s="11" t="n">
        <v>100</v>
      </c>
      <c r="H39" s="12" t="inlineStr">
        <is>
          <t>Below the vacant-unit premium because the scope is lighter.</t>
        </is>
      </c>
    </row>
    <row r="40">
      <c r="A40" s="10" t="inlineStr">
        <is>
          <t xml:space="preserve">  Incremental Downtime (days)</t>
        </is>
      </c>
      <c r="B40" s="18" t="n">
        <v>0</v>
      </c>
      <c r="H40" s="12" t="inlineStr">
        <is>
          <t>Resident stays in occupancy throughout.</t>
        </is>
      </c>
    </row>
    <row r="41">
      <c r="A41" s="10" t="inlineStr">
        <is>
          <t xml:space="preserve">  Months to Capture Premium</t>
        </is>
      </c>
      <c r="B41" s="26" t="n">
        <v>6</v>
      </c>
      <c r="H41" s="12" t="inlineStr">
        <is>
          <t>You cannot raise an in-place resident's rent until renewal. Six months is the average time to the next lease expiry across a stabilised roll.</t>
        </is>
      </c>
    </row>
    <row r="43">
      <c r="A43" s="8" t="inlineStr">
        <is>
          <t>TRACK B — 65 units requiring laundry addition (vacant)</t>
        </is>
      </c>
    </row>
    <row r="44">
      <c r="A44" s="10" t="inlineStr">
        <is>
          <t xml:space="preserve">  Units</t>
        </is>
      </c>
      <c r="B44" s="25">
        <f>Assumptions!$B$30</f>
        <v/>
      </c>
      <c r="H44" s="12" t="inlineStr">
        <is>
          <t>Abbey 15, Verdun 25, Bordeaux 25.</t>
        </is>
      </c>
    </row>
    <row r="45">
      <c r="A45" s="10" t="inlineStr">
        <is>
          <t xml:space="preserve">  Start Month</t>
        </is>
      </c>
      <c r="B45" s="18" t="n">
        <v>4</v>
      </c>
      <c r="H45" s="12" t="inlineStr">
        <is>
          <t>Indiana permits multifamily in two sequential steps: a STATE Construction Design Release from IDHS (Class 1 structure; 10-business-day clock, 15-20 business days typical) BEFORE the local Marion County DBNS permit (5-20 days). Roughly 8-12 weeks from closing with design time.</t>
        </is>
      </c>
    </row>
    <row r="46">
      <c r="A46" s="10" t="inlineStr">
        <is>
          <t xml:space="preserve">  Units per Month</t>
        </is>
      </c>
      <c r="B46" s="26" t="n">
        <v>5</v>
      </c>
      <c r="H46" s="12" t="inlineStr">
        <is>
          <t>Constrained by natural turnover: T-12 physical occupancy of 93.2% implies roughly 55-60 turns a year. We do not force vacancy.</t>
        </is>
      </c>
    </row>
    <row r="47">
      <c r="A47" s="10" t="inlineStr">
        <is>
          <t xml:space="preserve">  Interior Cost per Unit</t>
        </is>
      </c>
      <c r="B47" s="24" t="n">
        <v>13000</v>
      </c>
      <c r="H47" s="12" t="inlineStr">
        <is>
          <t>Full vacant-unit scope: cabinets, counters, LVP throughout, appliances, lighting and plumbing fixtures, hardware, full paint.</t>
        </is>
      </c>
    </row>
    <row r="48">
      <c r="A48" s="10" t="inlineStr">
        <is>
          <t xml:space="preserve">  W/D Addition Cost per Unit</t>
        </is>
      </c>
      <c r="B48" s="24" t="n">
        <v>5000</v>
      </c>
      <c r="H48" s="12" t="inlineStr">
        <is>
          <t>PRESCRIBED BY THE CASE: hookups plus the washer and dryer.</t>
        </is>
      </c>
    </row>
    <row r="49">
      <c r="A49" s="10" t="inlineStr">
        <is>
          <t xml:space="preserve">  Total Cost per Unit</t>
        </is>
      </c>
      <c r="B49" s="14">
        <f>Assumptions!$B$47+Assumptions!$B$48</f>
        <v/>
      </c>
    </row>
    <row r="50">
      <c r="A50" s="10" t="inlineStr">
        <is>
          <t xml:space="preserve">  Rent Premium ($/month)</t>
        </is>
      </c>
      <c r="B50" s="11" t="n">
        <v>200</v>
      </c>
      <c r="H50" s="12" t="inlineStr">
        <is>
          <t>Full interior plus in-unit laundry. CBRE's own Upgrade Forecast puts $163 on the Verdun for a much lighter touch plus a washer/dryer.</t>
        </is>
      </c>
    </row>
    <row r="51">
      <c r="A51" s="10" t="inlineStr">
        <is>
          <t xml:space="preserve">  Incremental Downtime (days)</t>
        </is>
      </c>
      <c r="B51" s="18" t="n">
        <v>14</v>
      </c>
      <c r="H51" s="12" t="inlineStr">
        <is>
          <t>Over and above a normal turn. The renovation is executed inside the vacancy window.</t>
        </is>
      </c>
    </row>
    <row r="52">
      <c r="A52" s="10" t="inlineStr">
        <is>
          <t xml:space="preserve">  Months to Capture Premium</t>
        </is>
      </c>
      <c r="B52" s="18" t="n">
        <v>1</v>
      </c>
      <c r="H52" s="12" t="inlineStr">
        <is>
          <t>Captured immediately on the new lease.</t>
        </is>
      </c>
    </row>
    <row r="54">
      <c r="A54" s="8" t="inlineStr">
        <is>
          <t>BLENDED PROGRAMME</t>
        </is>
      </c>
    </row>
    <row r="55">
      <c r="A55" s="10" t="inlineStr">
        <is>
          <t xml:space="preserve">  Blended Cost per Unit</t>
        </is>
      </c>
      <c r="B55" s="14">
        <f>Assumptions!$B$56/Assumptions!$B$19</f>
        <v/>
      </c>
    </row>
    <row r="56">
      <c r="A56" s="10" t="inlineStr">
        <is>
          <t xml:space="preserve">  Total Renovation Capital</t>
        </is>
      </c>
      <c r="B56" s="14">
        <f>Assumptions!$B$35*Assumptions!$B$38+Assumptions!$B$44*Assumptions!$B$49</f>
        <v/>
      </c>
    </row>
    <row r="57">
      <c r="A57" s="10" t="inlineStr">
        <is>
          <t xml:space="preserve">  Blended Premium per Unit ($/month)</t>
        </is>
      </c>
      <c r="B57" s="14">
        <f>(Assumptions!$B$35*Assumptions!$B$39+Assumptions!$B$44*Assumptions!$B$50)/Assumptions!$B$19</f>
        <v/>
      </c>
    </row>
    <row r="58">
      <c r="A58" s="10" t="inlineStr">
        <is>
          <t xml:space="preserve">  Return on Renovation Cost</t>
        </is>
      </c>
      <c r="B58" s="27">
        <f>Assumptions!$B$57*12/Assumptions!$B$55</f>
        <v/>
      </c>
    </row>
    <row r="59">
      <c r="A59" s="10" t="inlineStr">
        <is>
          <t xml:space="preserve">  Programme Completion (month of hold)</t>
        </is>
      </c>
      <c r="B59" s="25">
        <f>'Reno Schedule'!$C$77</f>
        <v/>
      </c>
    </row>
    <row r="60">
      <c r="A60" s="10" t="inlineStr">
        <is>
          <t>Capex Contingency (% of all capital)</t>
        </is>
      </c>
      <c r="B60" s="16" t="n">
        <v>0.08</v>
      </c>
    </row>
    <row r="62">
      <c r="A62" s="4" t="inlineStr">
        <is>
          <t>REVENUE DRIVERS</t>
        </is>
      </c>
      <c r="B62" s="5" t="n"/>
      <c r="C62" s="5" t="n"/>
      <c r="D62" s="5" t="n"/>
      <c r="E62" s="5" t="n"/>
      <c r="F62" s="5" t="n"/>
      <c r="G62" s="5" t="n"/>
      <c r="H62" s="5" t="n"/>
    </row>
    <row r="63">
      <c r="A63" s="6" t="inlineStr"/>
      <c r="C63" s="28" t="inlineStr">
        <is>
          <t>Year 1</t>
        </is>
      </c>
      <c r="D63" s="28" t="inlineStr">
        <is>
          <t>Year 2</t>
        </is>
      </c>
      <c r="E63" s="28" t="inlineStr">
        <is>
          <t>Year 3</t>
        </is>
      </c>
      <c r="F63" s="28" t="inlineStr">
        <is>
          <t>Year 4</t>
        </is>
      </c>
      <c r="G63" s="28" t="inlineStr">
        <is>
          <t>Year 5</t>
        </is>
      </c>
    </row>
    <row r="64">
      <c r="A64" s="10" t="inlineStr">
        <is>
          <t>Market Rent Growth</t>
        </is>
      </c>
      <c r="C64" s="29" t="n">
        <v>0.015</v>
      </c>
      <c r="D64" s="29" t="n">
        <v>0.02</v>
      </c>
      <c r="E64" s="29" t="n">
        <v>0.025</v>
      </c>
      <c r="F64" s="29" t="n">
        <v>0.03</v>
      </c>
      <c r="G64" s="29" t="n">
        <v>0.03</v>
      </c>
      <c r="H64" s="12" t="inlineStr">
        <is>
          <t>Yardi Matrix 1Q-2026: metro rents were FLAT on a trailing-three-month basis at $1,310 and up only 1.1% year over year. Construction starts MORE THAN DOUBLED in 2025, so the delivery wave lands in 2027-28, inside our hold. Year 1 is set slightly above the 1.1% actual, Year 2 held down by that wave, normalising to 3.0% only once it clears.</t>
        </is>
      </c>
    </row>
    <row r="65">
      <c r="A65" s="10" t="inlineStr">
        <is>
          <t>Loss to Lease (% of GPR)</t>
        </is>
      </c>
      <c r="C65" s="16" t="n">
        <v>0.022</v>
      </c>
      <c r="D65" s="16" t="n">
        <v>0.02</v>
      </c>
      <c r="E65" s="16" t="n">
        <v>0.0175</v>
      </c>
      <c r="F65" s="16" t="n">
        <v>0.015</v>
      </c>
      <c r="G65" s="16" t="n">
        <v>0.015</v>
      </c>
      <c r="H65" s="12" t="inlineStr">
        <is>
          <t>2.2% in place today. Burns down as the renovation programme resets leases to market.</t>
        </is>
      </c>
    </row>
    <row r="66">
      <c r="A66" s="10" t="inlineStr">
        <is>
          <t>Operating Physical Vacancy</t>
        </is>
      </c>
      <c r="C66" s="29" t="n">
        <v>0.055</v>
      </c>
      <c r="D66" s="29" t="n">
        <v>0.055</v>
      </c>
      <c r="E66" s="29" t="n">
        <v>0.055</v>
      </c>
      <c r="F66" s="29" t="n">
        <v>0.055</v>
      </c>
      <c r="G66" s="29" t="n">
        <v>0.055</v>
      </c>
      <c r="H66" s="12" t="inlineStr">
        <is>
          <t>T-12 actual physical vacancy is 6.8%; CBRE forecasts 5.0% stabilised. Underwritten at 5.5% (94.5% occupancy) against a 94.0% metro figure: Carmel alone takes more than half of 2026 metro deliveries and sits immediately north of this asset across the county line. Renovation downtime is added separately from the Reno Schedule.</t>
        </is>
      </c>
    </row>
    <row r="67">
      <c r="A67" s="10" t="inlineStr">
        <is>
          <t>Concessions (% of GPR)</t>
        </is>
      </c>
      <c r="C67" s="16" t="n">
        <v>0.0075</v>
      </c>
      <c r="D67" s="16" t="n">
        <v>0.0075</v>
      </c>
      <c r="E67" s="16" t="n">
        <v>0.005</v>
      </c>
      <c r="F67" s="16" t="n">
        <v>0.005</v>
      </c>
      <c r="G67" s="16" t="n">
        <v>0.005</v>
      </c>
      <c r="H67" s="12" t="inlineStr">
        <is>
          <t>T-12 actual 0.5% and rising in recent months. Elevated while renovated units are first leased.</t>
        </is>
      </c>
    </row>
    <row r="68">
      <c r="A68" s="10" t="inlineStr">
        <is>
          <t>Bad Debt (% of GPR)</t>
        </is>
      </c>
      <c r="C68" s="29" t="n">
        <v>0.015</v>
      </c>
      <c r="D68" s="29" t="n">
        <v>0.0125</v>
      </c>
      <c r="E68" s="29" t="n">
        <v>0.0125</v>
      </c>
      <c r="F68" s="29" t="n">
        <v>0.01</v>
      </c>
      <c r="G68" s="29" t="n">
        <v>0.01</v>
      </c>
      <c r="H68" s="12" t="inlineStr">
        <is>
          <t>T-12 net is 0.5% ($28,229 written off against $19,050 collected) but gross write-offs are accelerating and 4 units are in eviction with 8 on notice.</t>
        </is>
      </c>
    </row>
    <row r="69">
      <c r="A69" s="10" t="inlineStr">
        <is>
          <t>Other Income Growth</t>
        </is>
      </c>
      <c r="C69" s="16" t="n">
        <v>0.03</v>
      </c>
      <c r="D69" s="16" t="n">
        <v>0.03</v>
      </c>
      <c r="E69" s="16" t="n">
        <v>0.03</v>
      </c>
      <c r="F69" s="16" t="n">
        <v>0.03</v>
      </c>
      <c r="G69" s="16" t="n">
        <v>0.03</v>
      </c>
    </row>
    <row r="71">
      <c r="A71" s="4" t="inlineStr">
        <is>
          <t>OPERATING EXPENSES — YEAR 1 AND ANNUAL GROWTH</t>
        </is>
      </c>
      <c r="B71" s="5" t="n"/>
      <c r="C71" s="5" t="n"/>
      <c r="D71" s="5" t="n"/>
      <c r="E71" s="5" t="n"/>
      <c r="F71" s="5" t="n"/>
      <c r="G71" s="5" t="n"/>
      <c r="H71" s="5" t="n"/>
    </row>
    <row r="72">
      <c r="A72" s="6" t="inlineStr"/>
      <c r="B72" s="28" t="inlineStr">
        <is>
          <t>Year 1 $</t>
        </is>
      </c>
      <c r="C72" s="28" t="inlineStr">
        <is>
          <t>Growth</t>
        </is>
      </c>
      <c r="H72" s="8" t="inlineStr">
        <is>
          <t>Basis</t>
        </is>
      </c>
    </row>
    <row r="73">
      <c r="A73" s="10" t="inlineStr">
        <is>
          <t>Payroll</t>
        </is>
      </c>
      <c r="B73" s="24" t="n">
        <v>235000</v>
      </c>
      <c r="C73" s="16" t="n">
        <v>0.035</v>
      </c>
      <c r="H73" s="12" t="inlineStr">
        <is>
          <t>T-12 $227,969; CBRE forecast $229,021 for 3.5 FTE. We add a second maintenance technician to execute 5 renovations a month.</t>
        </is>
      </c>
    </row>
    <row r="74">
      <c r="A74" s="10" t="inlineStr">
        <is>
          <t>Property Management Fee (% of EGR)</t>
        </is>
      </c>
      <c r="B74" s="16" t="n">
        <v>0.04</v>
      </c>
      <c r="H74" s="12" t="inlineStr">
        <is>
          <t>T-12 effective 3.5%; CBRE forecast 4.0%. Third-party market rate at this size.</t>
        </is>
      </c>
    </row>
    <row r="75">
      <c r="A75" s="10" t="inlineStr">
        <is>
          <t>Marketing &amp; Advertising</t>
        </is>
      </c>
      <c r="B75" s="24" t="n">
        <v>28000</v>
      </c>
      <c r="C75" s="16" t="n">
        <v>0.03</v>
      </c>
      <c r="H75" s="12" t="inlineStr">
        <is>
          <t>T-12 $26,399. Increased for renovated-unit lease-up.</t>
        </is>
      </c>
    </row>
    <row r="76">
      <c r="A76" s="10" t="inlineStr">
        <is>
          <t>General &amp; Administrative</t>
        </is>
      </c>
      <c r="B76" s="24" t="n">
        <v>50000</v>
      </c>
      <c r="C76" s="16" t="n">
        <v>0.03</v>
      </c>
      <c r="H76" s="12" t="inlineStr">
        <is>
          <t>T-12 $62,887 including $17,528 of legal and $14,730 of tax/audit concentrated in Dec-Jan (likely sale-related). CBRE forecast $42,209. Underwritten between the two.</t>
        </is>
      </c>
    </row>
    <row r="77">
      <c r="A77" s="10" t="inlineStr">
        <is>
          <t>Bulk Internet (net expense)</t>
        </is>
      </c>
      <c r="B77" s="24" t="n">
        <v>39577</v>
      </c>
      <c r="C77" s="16" t="n">
        <v>0.03</v>
      </c>
      <c r="H77" s="12" t="inlineStr">
        <is>
          <t>$27.95/unit/month fully stabilised under the 7-year Comcast contract signed May 2025. T-12 shows only $11,068 because the contract is still ramping. Residents are billed $49 — see Other Income.</t>
        </is>
      </c>
    </row>
    <row r="78">
      <c r="A78" s="10" t="inlineStr">
        <is>
          <t>Electricity (common + vacant)</t>
        </is>
      </c>
      <c r="B78" s="24" t="n">
        <v>31000</v>
      </c>
      <c r="C78" s="16" t="n">
        <v>0.03</v>
      </c>
      <c r="H78" s="12" t="inlineStr">
        <is>
          <t>T-12 $30,320.</t>
        </is>
      </c>
    </row>
    <row r="79">
      <c r="A79" s="10" t="inlineStr">
        <is>
          <t>Gas (central hot water + common)</t>
        </is>
      </c>
      <c r="B79" s="24" t="n">
        <v>16000</v>
      </c>
      <c r="C79" s="16" t="n">
        <v>0.03</v>
      </c>
      <c r="H79" s="12" t="inlineStr">
        <is>
          <t>T-12 $15,330.</t>
        </is>
      </c>
    </row>
    <row r="80">
      <c r="A80" s="10" t="inlineStr">
        <is>
          <t>Water &amp; Sewer</t>
        </is>
      </c>
      <c r="B80" s="24" t="n">
        <v>90000</v>
      </c>
      <c r="C80" s="16" t="n">
        <v>0.04</v>
      </c>
      <c r="H80" s="12" t="inlineStr">
        <is>
          <t>T-12 $86,421. 85% is recovered from residents — see Other Income.</t>
        </is>
      </c>
    </row>
    <row r="81">
      <c r="A81" s="10" t="inlineStr">
        <is>
          <t>Repairs &amp; Maintenance (incl. turns)</t>
        </is>
      </c>
      <c r="B81" s="24" t="n">
        <v>255000</v>
      </c>
      <c r="C81" s="16" t="n">
        <v>0.03</v>
      </c>
      <c r="H81" s="12" t="inlineStr">
        <is>
          <t>T-12 $250,935 ($2,127/unit) including $42,921 of turnover cost; CBRE forecast $247,656. No post-renovation savings credited.</t>
        </is>
      </c>
    </row>
    <row r="82">
      <c r="A82" s="10" t="inlineStr">
        <is>
          <t>Insurance</t>
        </is>
      </c>
      <c r="B82" s="24" t="n">
        <v>95000</v>
      </c>
      <c r="C82" s="16" t="n">
        <v>0.05</v>
      </c>
      <c r="H82" s="12" t="inlineStr">
        <is>
          <t>T-12 $94,611 ($802/unit); CBRE forecast $88,326. No loss run or bindable quote provided.</t>
        </is>
      </c>
    </row>
    <row r="83">
      <c r="A83" s="6" t="inlineStr"/>
      <c r="C83" s="28" t="inlineStr">
        <is>
          <t>Year 1</t>
        </is>
      </c>
      <c r="D83" s="28" t="inlineStr">
        <is>
          <t>Year 2</t>
        </is>
      </c>
      <c r="E83" s="28" t="inlineStr">
        <is>
          <t>Year 3</t>
        </is>
      </c>
      <c r="F83" s="28" t="inlineStr">
        <is>
          <t>Year 4</t>
        </is>
      </c>
      <c r="G83" s="28" t="inlineStr">
        <is>
          <t>Year 5</t>
        </is>
      </c>
    </row>
    <row r="84">
      <c r="A84" s="10" t="inlineStr">
        <is>
          <t>Real Estate Taxes</t>
        </is>
      </c>
      <c r="C84" s="11" t="n">
        <v>137000</v>
      </c>
      <c r="D84" s="11" t="n">
        <v>142500</v>
      </c>
      <c r="E84" s="11" t="n">
        <v>148200</v>
      </c>
      <c r="F84" s="11" t="n">
        <v>154100</v>
      </c>
      <c r="G84" s="11" t="n">
        <v>160300</v>
      </c>
      <c r="H84" s="12" t="inlineStr">
        <is>
          <t>Marion County parcel 8000002 ACTUAL: 2025 net annual tax $129,648 on a $5,214,932 net assessed value at 2.4861% (gross AV $5,547,800 less a $332,868 '2% deduction'). The 25-year assessment record shows AV range-bound at $5.1-6.6mm since 2012 (0.35% a year) with the last assessment change on 03/15/2022, and the 2006 sale did NOT reset it. Base case grows the actual bill at 4% — above the 1.5% historical rate. A reassessment shock is a named sensitivity, not the base case. See the 'Tax Record' tab.</t>
        </is>
      </c>
    </row>
    <row r="85">
      <c r="A85" s="10" t="inlineStr">
        <is>
          <t>Replacement Reserves ($/unit/year)</t>
        </is>
      </c>
      <c r="B85" s="24" t="n">
        <v>300</v>
      </c>
      <c r="H85" s="12" t="inlineStr">
        <is>
          <t>Lender-standard for 1974 vintage. Below NOI. Grows with Other Income growth.</t>
        </is>
      </c>
    </row>
    <row r="87">
      <c r="A87" s="4" t="inlineStr">
        <is>
          <t>DEBT</t>
        </is>
      </c>
      <c r="B87" s="5" t="n"/>
      <c r="C87" s="5" t="n"/>
      <c r="D87" s="5" t="n"/>
      <c r="E87" s="5" t="n"/>
      <c r="F87" s="5" t="n"/>
      <c r="G87" s="5" t="n"/>
      <c r="H87" s="5" t="n"/>
    </row>
    <row r="88">
      <c r="A88" s="10" t="inlineStr">
        <is>
          <t>Maximum Loan to Cost</t>
        </is>
      </c>
      <c r="B88" s="29" t="n">
        <v>0.65</v>
      </c>
      <c r="H88" s="12" t="inlineStr">
        <is>
          <t>Value-add / bridge structure with a capital facility.</t>
        </is>
      </c>
    </row>
    <row r="89">
      <c r="A89" s="10" t="inlineStr">
        <is>
          <t>Minimum Debt Yield (Year-1 NOI / loan)</t>
        </is>
      </c>
      <c r="B89" s="16" t="n">
        <v>0.08</v>
      </c>
      <c r="H89" s="12" t="inlineStr">
        <is>
          <t>Lender sizing test. Binding constraint at the base-case price — see Returns.</t>
        </is>
      </c>
    </row>
    <row r="90">
      <c r="A90" s="10" t="inlineStr">
        <is>
          <t>Minimum DSCR (Year-1)</t>
        </is>
      </c>
      <c r="B90" s="30" t="n">
        <v>1.25</v>
      </c>
      <c r="H90" s="12" t="inlineStr">
        <is>
          <t>Lender sizing test on an interest-only structure.</t>
        </is>
      </c>
    </row>
    <row r="91">
      <c r="A91" s="10" t="inlineStr">
        <is>
          <t>Interest Rate (fixed, interest-only)</t>
        </is>
      </c>
      <c r="B91" s="19" t="n">
        <v>0.0585</v>
      </c>
      <c r="H91" s="12" t="inlineStr">
        <is>
          <t>No terms provided. Approximates mid-2026 agency pricing on a 5-year interest-only structure.</t>
        </is>
      </c>
    </row>
    <row r="92">
      <c r="A92" s="10" t="inlineStr">
        <is>
          <t>Origination Fee (% of loan)</t>
        </is>
      </c>
      <c r="B92" s="16" t="n">
        <v>0.01</v>
      </c>
    </row>
    <row r="93">
      <c r="A93" s="10" t="inlineStr">
        <is>
          <t>Other Financing Costs</t>
        </is>
      </c>
      <c r="B93" s="24" t="n">
        <v>100000</v>
      </c>
      <c r="H93" s="12" t="inlineStr">
        <is>
          <t>Lender legal, appraisal, engineering, cap-ex escrow set-up, rate-lock.</t>
        </is>
      </c>
    </row>
  </sheetData>
  <mergeCells count="10">
    <mergeCell ref="A18:H18"/>
    <mergeCell ref="A62:H62"/>
    <mergeCell ref="A87:H87"/>
    <mergeCell ref="A43:H43"/>
    <mergeCell ref="A54:H54"/>
    <mergeCell ref="A71:H71"/>
    <mergeCell ref="A33:H33"/>
    <mergeCell ref="A5:H5"/>
    <mergeCell ref="A32:H32"/>
    <mergeCell ref="A34:H34"/>
  </mergeCells>
  <printOptions horizontalCentered="0"/>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P12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7" customWidth="1" min="3" max="3"/>
    <col width="8" customWidth="1" min="4" max="4"/>
    <col width="15" customWidth="1" min="5" max="5"/>
    <col width="11" customWidth="1" min="6" max="6"/>
    <col width="12" customWidth="1" min="7" max="7"/>
    <col width="12" customWidth="1" min="8" max="8"/>
    <col width="11" customWidth="1" min="9" max="9"/>
    <col width="11" customWidth="1" min="10" max="10"/>
    <col width="11" customWidth="1" min="11" max="11"/>
    <col width="10" customWidth="1" min="12" max="12"/>
    <col width="18" customWidth="1" min="13" max="13"/>
    <col width="12" customWidth="1" min="14" max="14"/>
    <col width="12" customWidth="1" min="15" max="15"/>
    <col width="15" customWidth="1" min="16" max="16"/>
  </cols>
  <sheetData>
    <row r="1">
      <c r="A1" s="1" t="inlineStr">
        <is>
          <t>CHATEAU IN THE WOODS  |  4020 Monaco Drive, Indianapolis, IN 46220  |  118 Units</t>
        </is>
      </c>
    </row>
    <row r="2">
      <c r="A2" s="2" t="inlineStr">
        <is>
          <t>Rent Roll as of 07/01/2026 — with case status rules and per-unit renovation scope</t>
        </is>
      </c>
    </row>
    <row r="3">
      <c r="A3" s="3" t="inlineStr">
        <is>
          <t>Blue = hardcoded input / lever   ·   Black = formula   ·   Green = link to another sheet   ·   Yellow fill = key assumption</t>
        </is>
      </c>
    </row>
    <row r="5" ht="30" customHeight="1">
      <c r="A5" s="31" t="inlineStr">
        <is>
          <t>Unit</t>
        </is>
      </c>
      <c r="B5" s="31" t="inlineStr">
        <is>
          <t>BD/BA</t>
        </is>
      </c>
      <c r="C5" s="31" t="inlineStr">
        <is>
          <t>Unit Type</t>
        </is>
      </c>
      <c r="D5" s="31" t="inlineStr">
        <is>
          <t>SF</t>
        </is>
      </c>
      <c r="E5" s="31" t="inlineStr">
        <is>
          <t>RR Status</t>
        </is>
      </c>
      <c r="F5" s="31" t="inlineStr">
        <is>
          <t>UW Status</t>
        </is>
      </c>
      <c r="G5" s="31" t="inlineStr">
        <is>
          <t>Market Rent</t>
        </is>
      </c>
      <c r="H5" s="31" t="inlineStr">
        <is>
          <t>In-Place Rent</t>
        </is>
      </c>
      <c r="I5" s="31" t="inlineStr">
        <is>
          <t>Loss to Lease</t>
        </is>
      </c>
      <c r="J5" s="31" t="inlineStr">
        <is>
          <t>Lease From</t>
        </is>
      </c>
      <c r="K5" s="31" t="inlineStr">
        <is>
          <t>Lease To</t>
        </is>
      </c>
      <c r="L5" s="31" t="inlineStr">
        <is>
          <t>In-Unit W/D</t>
        </is>
      </c>
      <c r="M5" s="31" t="inlineStr">
        <is>
          <t>Reno Track</t>
        </is>
      </c>
      <c r="N5" s="31" t="inlineStr">
        <is>
          <t>Reno Cost $</t>
        </is>
      </c>
      <c r="O5" s="31" t="inlineStr">
        <is>
          <t>Premium $/mo</t>
        </is>
      </c>
      <c r="P5" s="31" t="inlineStr">
        <is>
          <t>Renovated Mkt Rent</t>
        </is>
      </c>
    </row>
    <row r="6">
      <c r="A6" s="10" t="inlineStr">
        <is>
          <t>4001-A</t>
        </is>
      </c>
      <c r="B6" s="32" t="inlineStr">
        <is>
          <t>1/1.00</t>
        </is>
      </c>
      <c r="C6" s="10" t="inlineStr">
        <is>
          <t>Rhone w/ WD</t>
        </is>
      </c>
      <c r="D6" s="21" t="n">
        <v>712</v>
      </c>
      <c r="E6" s="10" t="inlineStr">
        <is>
          <t>Current</t>
        </is>
      </c>
      <c r="F6" s="32" t="inlineStr">
        <is>
          <t>Occupied</t>
        </is>
      </c>
      <c r="G6" s="33" t="n">
        <v>1125</v>
      </c>
      <c r="H6" s="33" t="n">
        <v>1109</v>
      </c>
      <c r="I6" s="33">
        <f>IF(F6="Vacant",0,H6-G6)</f>
        <v/>
      </c>
      <c r="J6" s="34" t="n">
        <v>45590</v>
      </c>
      <c r="K6" s="34" t="n">
        <v>46319</v>
      </c>
      <c r="L6" s="32" t="inlineStr">
        <is>
          <t>Yes</t>
        </is>
      </c>
      <c r="M6" s="32">
        <f>IF(L6="Yes","A — in-place","B — vacant + laundry")</f>
        <v/>
      </c>
      <c r="N6" s="33">
        <f>IF(L6="Yes",Assumptions!$B$38,Assumptions!$B$49)</f>
        <v/>
      </c>
      <c r="O6" s="33">
        <f>IF(L6="Yes",Assumptions!$B$39,Assumptions!$B$50)</f>
        <v/>
      </c>
      <c r="P6" s="33">
        <f>G6+O6</f>
        <v/>
      </c>
    </row>
    <row r="7">
      <c r="A7" s="10" t="inlineStr">
        <is>
          <t>4001-C</t>
        </is>
      </c>
      <c r="B7" s="32" t="inlineStr">
        <is>
          <t>1/1.00</t>
        </is>
      </c>
      <c r="C7" s="10" t="inlineStr">
        <is>
          <t>Rhone w/ WD</t>
        </is>
      </c>
      <c r="D7" s="21" t="n">
        <v>712</v>
      </c>
      <c r="E7" s="10" t="inlineStr">
        <is>
          <t>Current</t>
        </is>
      </c>
      <c r="F7" s="32" t="inlineStr">
        <is>
          <t>Occupied</t>
        </is>
      </c>
      <c r="G7" s="33" t="n">
        <v>1125</v>
      </c>
      <c r="H7" s="33" t="n">
        <v>1094</v>
      </c>
      <c r="I7" s="33">
        <f>IF(F7="Vacant",0,H7-G7)</f>
        <v/>
      </c>
      <c r="J7" s="34" t="n">
        <v>44638</v>
      </c>
      <c r="K7" s="34" t="n">
        <v>46463</v>
      </c>
      <c r="L7" s="32" t="inlineStr">
        <is>
          <t>Yes</t>
        </is>
      </c>
      <c r="M7" s="32">
        <f>IF(L7="Yes","A — in-place","B — vacant + laundry")</f>
        <v/>
      </c>
      <c r="N7" s="33">
        <f>IF(L7="Yes",Assumptions!$B$38,Assumptions!$B$49)</f>
        <v/>
      </c>
      <c r="O7" s="33">
        <f>IF(L7="Yes",Assumptions!$B$39,Assumptions!$B$50)</f>
        <v/>
      </c>
      <c r="P7" s="33">
        <f>G7+O7</f>
        <v/>
      </c>
    </row>
    <row r="8">
      <c r="A8" s="10" t="inlineStr">
        <is>
          <t>4001-E</t>
        </is>
      </c>
      <c r="B8" s="32" t="inlineStr">
        <is>
          <t>1/1.00</t>
        </is>
      </c>
      <c r="C8" s="10" t="inlineStr">
        <is>
          <t>Rhone w/ WD</t>
        </is>
      </c>
      <c r="D8" s="21" t="n">
        <v>712</v>
      </c>
      <c r="E8" s="10" t="inlineStr">
        <is>
          <t>Current</t>
        </is>
      </c>
      <c r="F8" s="32" t="inlineStr">
        <is>
          <t>Occupied</t>
        </is>
      </c>
      <c r="G8" s="33" t="n">
        <v>1125</v>
      </c>
      <c r="H8" s="33" t="n">
        <v>1109</v>
      </c>
      <c r="I8" s="33">
        <f>IF(F8="Vacant",0,H8-G8)</f>
        <v/>
      </c>
      <c r="J8" s="34" t="n">
        <v>46173</v>
      </c>
      <c r="K8" s="34" t="n">
        <v>46568</v>
      </c>
      <c r="L8" s="32" t="inlineStr">
        <is>
          <t>Yes</t>
        </is>
      </c>
      <c r="M8" s="32">
        <f>IF(L8="Yes","A — in-place","B — vacant + laundry")</f>
        <v/>
      </c>
      <c r="N8" s="33">
        <f>IF(L8="Yes",Assumptions!$B$38,Assumptions!$B$49)</f>
        <v/>
      </c>
      <c r="O8" s="33">
        <f>IF(L8="Yes",Assumptions!$B$39,Assumptions!$B$50)</f>
        <v/>
      </c>
      <c r="P8" s="33">
        <f>G8+O8</f>
        <v/>
      </c>
    </row>
    <row r="9">
      <c r="A9" s="10" t="inlineStr">
        <is>
          <t>4002-B</t>
        </is>
      </c>
      <c r="B9" s="32" t="inlineStr">
        <is>
          <t>1/1.00</t>
        </is>
      </c>
      <c r="C9" s="10" t="inlineStr">
        <is>
          <t>Abbey</t>
        </is>
      </c>
      <c r="D9" s="21" t="n">
        <v>712</v>
      </c>
      <c r="E9" s="10" t="inlineStr">
        <is>
          <t>Current</t>
        </is>
      </c>
      <c r="F9" s="32" t="inlineStr">
        <is>
          <t>Occupied</t>
        </is>
      </c>
      <c r="G9" s="33" t="n">
        <v>1050</v>
      </c>
      <c r="H9" s="33" t="n">
        <v>1044</v>
      </c>
      <c r="I9" s="33">
        <f>IF(F9="Vacant",0,H9-G9)</f>
        <v/>
      </c>
      <c r="J9" s="34" t="n">
        <v>46142</v>
      </c>
      <c r="K9" s="34" t="n">
        <v>46536</v>
      </c>
      <c r="L9" s="32" t="inlineStr">
        <is>
          <t>No</t>
        </is>
      </c>
      <c r="M9" s="32">
        <f>IF(L9="Yes","A — in-place","B — vacant + laundry")</f>
        <v/>
      </c>
      <c r="N9" s="33">
        <f>IF(L9="Yes",Assumptions!$B$38,Assumptions!$B$49)</f>
        <v/>
      </c>
      <c r="O9" s="33">
        <f>IF(L9="Yes",Assumptions!$B$39,Assumptions!$B$50)</f>
        <v/>
      </c>
      <c r="P9" s="33">
        <f>G9+O9</f>
        <v/>
      </c>
    </row>
    <row r="10">
      <c r="A10" s="10" t="inlineStr">
        <is>
          <t>4002-D</t>
        </is>
      </c>
      <c r="B10" s="32" t="inlineStr">
        <is>
          <t>1/1.00</t>
        </is>
      </c>
      <c r="C10" s="10" t="inlineStr">
        <is>
          <t>Abbey</t>
        </is>
      </c>
      <c r="D10" s="21" t="n">
        <v>712</v>
      </c>
      <c r="E10" s="10" t="inlineStr">
        <is>
          <t>Current</t>
        </is>
      </c>
      <c r="F10" s="32" t="inlineStr">
        <is>
          <t>Occupied</t>
        </is>
      </c>
      <c r="G10" s="33" t="n">
        <v>1050</v>
      </c>
      <c r="H10" s="33" t="n">
        <v>1063</v>
      </c>
      <c r="I10" s="33">
        <f>IF(F10="Vacant",0,H10-G10)</f>
        <v/>
      </c>
      <c r="J10" s="34" t="n">
        <v>45474</v>
      </c>
      <c r="K10" s="34" t="n">
        <v>46568</v>
      </c>
      <c r="L10" s="32" t="inlineStr">
        <is>
          <t>No</t>
        </is>
      </c>
      <c r="M10" s="32">
        <f>IF(L10="Yes","A — in-place","B — vacant + laundry")</f>
        <v/>
      </c>
      <c r="N10" s="33">
        <f>IF(L10="Yes",Assumptions!$B$38,Assumptions!$B$49)</f>
        <v/>
      </c>
      <c r="O10" s="33">
        <f>IF(L10="Yes",Assumptions!$B$39,Assumptions!$B$50)</f>
        <v/>
      </c>
      <c r="P10" s="33">
        <f>G10+O10</f>
        <v/>
      </c>
    </row>
    <row r="11">
      <c r="A11" s="10" t="inlineStr">
        <is>
          <t>4002-F</t>
        </is>
      </c>
      <c r="B11" s="32" t="inlineStr">
        <is>
          <t>1/1.00</t>
        </is>
      </c>
      <c r="C11" s="10" t="inlineStr">
        <is>
          <t>Abbey</t>
        </is>
      </c>
      <c r="D11" s="21" t="n">
        <v>712</v>
      </c>
      <c r="E11" s="10" t="inlineStr">
        <is>
          <t>Current</t>
        </is>
      </c>
      <c r="F11" s="32" t="inlineStr">
        <is>
          <t>Occupied</t>
        </is>
      </c>
      <c r="G11" s="33" t="n">
        <v>1050</v>
      </c>
      <c r="H11" s="33" t="n">
        <v>1058</v>
      </c>
      <c r="I11" s="33">
        <f>IF(F11="Vacant",0,H11-G11)</f>
        <v/>
      </c>
      <c r="J11" s="34" t="n">
        <v>45108</v>
      </c>
      <c r="K11" s="34" t="n">
        <v>46568</v>
      </c>
      <c r="L11" s="32" t="inlineStr">
        <is>
          <t>No</t>
        </is>
      </c>
      <c r="M11" s="32">
        <f>IF(L11="Yes","A — in-place","B — vacant + laundry")</f>
        <v/>
      </c>
      <c r="N11" s="33">
        <f>IF(L11="Yes",Assumptions!$B$38,Assumptions!$B$49)</f>
        <v/>
      </c>
      <c r="O11" s="33">
        <f>IF(L11="Yes",Assumptions!$B$39,Assumptions!$B$50)</f>
        <v/>
      </c>
      <c r="P11" s="33">
        <f>G11+O11</f>
        <v/>
      </c>
    </row>
    <row r="12">
      <c r="A12" s="10" t="inlineStr">
        <is>
          <t>4005-B</t>
        </is>
      </c>
      <c r="B12" s="32" t="inlineStr">
        <is>
          <t>1/1.00</t>
        </is>
      </c>
      <c r="C12" s="10" t="inlineStr">
        <is>
          <t>Abbey</t>
        </is>
      </c>
      <c r="D12" s="21" t="n">
        <v>712</v>
      </c>
      <c r="E12" s="10" t="inlineStr">
        <is>
          <t>Current</t>
        </is>
      </c>
      <c r="F12" s="32" t="inlineStr">
        <is>
          <t>Occupied</t>
        </is>
      </c>
      <c r="G12" s="33" t="n">
        <v>1050</v>
      </c>
      <c r="H12" s="33" t="n">
        <v>994</v>
      </c>
      <c r="I12" s="33">
        <f>IF(F12="Vacant",0,H12-G12)</f>
        <v/>
      </c>
      <c r="J12" s="34" t="n">
        <v>45990</v>
      </c>
      <c r="K12" s="34" t="n">
        <v>46384</v>
      </c>
      <c r="L12" s="32" t="inlineStr">
        <is>
          <t>No</t>
        </is>
      </c>
      <c r="M12" s="32">
        <f>IF(L12="Yes","A — in-place","B — vacant + laundry")</f>
        <v/>
      </c>
      <c r="N12" s="33">
        <f>IF(L12="Yes",Assumptions!$B$38,Assumptions!$B$49)</f>
        <v/>
      </c>
      <c r="O12" s="33">
        <f>IF(L12="Yes",Assumptions!$B$39,Assumptions!$B$50)</f>
        <v/>
      </c>
      <c r="P12" s="33">
        <f>G12+O12</f>
        <v/>
      </c>
    </row>
    <row r="13">
      <c r="A13" s="10" t="inlineStr">
        <is>
          <t>4005-D</t>
        </is>
      </c>
      <c r="B13" s="32" t="inlineStr">
        <is>
          <t>1/1.00</t>
        </is>
      </c>
      <c r="C13" s="10" t="inlineStr">
        <is>
          <t>Abbey</t>
        </is>
      </c>
      <c r="D13" s="21" t="n">
        <v>712</v>
      </c>
      <c r="E13" s="10" t="inlineStr">
        <is>
          <t>Current</t>
        </is>
      </c>
      <c r="F13" s="32" t="inlineStr">
        <is>
          <t>Occupied</t>
        </is>
      </c>
      <c r="G13" s="33" t="n">
        <v>1050</v>
      </c>
      <c r="H13" s="33" t="n">
        <v>1044</v>
      </c>
      <c r="I13" s="33">
        <f>IF(F13="Vacant",0,H13-G13)</f>
        <v/>
      </c>
      <c r="J13" s="34" t="n">
        <v>45590</v>
      </c>
      <c r="K13" s="34" t="n"/>
      <c r="L13" s="32" t="inlineStr">
        <is>
          <t>No</t>
        </is>
      </c>
      <c r="M13" s="32">
        <f>IF(L13="Yes","A — in-place","B — vacant + laundry")</f>
        <v/>
      </c>
      <c r="N13" s="33">
        <f>IF(L13="Yes",Assumptions!$B$38,Assumptions!$B$49)</f>
        <v/>
      </c>
      <c r="O13" s="33">
        <f>IF(L13="Yes",Assumptions!$B$39,Assumptions!$B$50)</f>
        <v/>
      </c>
      <c r="P13" s="33">
        <f>G13+O13</f>
        <v/>
      </c>
    </row>
    <row r="14">
      <c r="A14" s="10" t="inlineStr">
        <is>
          <t>4005-F</t>
        </is>
      </c>
      <c r="B14" s="32" t="inlineStr">
        <is>
          <t>1/1.00</t>
        </is>
      </c>
      <c r="C14" s="10" t="inlineStr">
        <is>
          <t>Abbey</t>
        </is>
      </c>
      <c r="D14" s="21" t="n">
        <v>712</v>
      </c>
      <c r="E14" s="10" t="inlineStr">
        <is>
          <t>Current</t>
        </is>
      </c>
      <c r="F14" s="32" t="inlineStr">
        <is>
          <t>Occupied</t>
        </is>
      </c>
      <c r="G14" s="33" t="n">
        <v>1050</v>
      </c>
      <c r="H14" s="33" t="n">
        <v>1034</v>
      </c>
      <c r="I14" s="33">
        <f>IF(F14="Vacant",0,H14-G14)</f>
        <v/>
      </c>
      <c r="J14" s="34" t="n">
        <v>42644</v>
      </c>
      <c r="K14" s="34" t="n">
        <v>46295</v>
      </c>
      <c r="L14" s="32" t="inlineStr">
        <is>
          <t>No</t>
        </is>
      </c>
      <c r="M14" s="32">
        <f>IF(L14="Yes","A — in-place","B — vacant + laundry")</f>
        <v/>
      </c>
      <c r="N14" s="33">
        <f>IF(L14="Yes",Assumptions!$B$38,Assumptions!$B$49)</f>
        <v/>
      </c>
      <c r="O14" s="33">
        <f>IF(L14="Yes",Assumptions!$B$39,Assumptions!$B$50)</f>
        <v/>
      </c>
      <c r="P14" s="33">
        <f>G14+O14</f>
        <v/>
      </c>
    </row>
    <row r="15">
      <c r="A15" s="10" t="inlineStr">
        <is>
          <t>4006-A</t>
        </is>
      </c>
      <c r="B15" s="32" t="inlineStr">
        <is>
          <t>1/1.00</t>
        </is>
      </c>
      <c r="C15" s="10" t="inlineStr">
        <is>
          <t>Rhone w/ WD</t>
        </is>
      </c>
      <c r="D15" s="21" t="n">
        <v>712</v>
      </c>
      <c r="E15" s="10" t="inlineStr">
        <is>
          <t>Current</t>
        </is>
      </c>
      <c r="F15" s="32" t="inlineStr">
        <is>
          <t>Occupied</t>
        </is>
      </c>
      <c r="G15" s="33" t="n">
        <v>1125</v>
      </c>
      <c r="H15" s="33" t="n">
        <v>1109</v>
      </c>
      <c r="I15" s="33">
        <f>IF(F15="Vacant",0,H15-G15)</f>
        <v/>
      </c>
      <c r="J15" s="34" t="n">
        <v>44263</v>
      </c>
      <c r="K15" s="34" t="n">
        <v>46363</v>
      </c>
      <c r="L15" s="32" t="inlineStr">
        <is>
          <t>Yes</t>
        </is>
      </c>
      <c r="M15" s="32">
        <f>IF(L15="Yes","A — in-place","B — vacant + laundry")</f>
        <v/>
      </c>
      <c r="N15" s="33">
        <f>IF(L15="Yes",Assumptions!$B$38,Assumptions!$B$49)</f>
        <v/>
      </c>
      <c r="O15" s="33">
        <f>IF(L15="Yes",Assumptions!$B$39,Assumptions!$B$50)</f>
        <v/>
      </c>
      <c r="P15" s="33">
        <f>G15+O15</f>
        <v/>
      </c>
    </row>
    <row r="16">
      <c r="A16" s="10" t="inlineStr">
        <is>
          <t>4006-C</t>
        </is>
      </c>
      <c r="B16" s="32" t="inlineStr">
        <is>
          <t>1/1.00</t>
        </is>
      </c>
      <c r="C16" s="10" t="inlineStr">
        <is>
          <t>Rhone w/ WD</t>
        </is>
      </c>
      <c r="D16" s="21" t="n">
        <v>712</v>
      </c>
      <c r="E16" s="10" t="inlineStr">
        <is>
          <t>Current</t>
        </is>
      </c>
      <c r="F16" s="32" t="inlineStr">
        <is>
          <t>Occupied</t>
        </is>
      </c>
      <c r="G16" s="33" t="n">
        <v>1125</v>
      </c>
      <c r="H16" s="33" t="n">
        <v>1094</v>
      </c>
      <c r="I16" s="33">
        <f>IF(F16="Vacant",0,H16-G16)</f>
        <v/>
      </c>
      <c r="J16" s="34" t="n">
        <v>43896</v>
      </c>
      <c r="K16" s="34" t="n">
        <v>46451</v>
      </c>
      <c r="L16" s="32" t="inlineStr">
        <is>
          <t>Yes</t>
        </is>
      </c>
      <c r="M16" s="32">
        <f>IF(L16="Yes","A — in-place","B — vacant + laundry")</f>
        <v/>
      </c>
      <c r="N16" s="33">
        <f>IF(L16="Yes",Assumptions!$B$38,Assumptions!$B$49)</f>
        <v/>
      </c>
      <c r="O16" s="33">
        <f>IF(L16="Yes",Assumptions!$B$39,Assumptions!$B$50)</f>
        <v/>
      </c>
      <c r="P16" s="33">
        <f>G16+O16</f>
        <v/>
      </c>
    </row>
    <row r="17">
      <c r="A17" s="10" t="inlineStr">
        <is>
          <t>4006-E</t>
        </is>
      </c>
      <c r="B17" s="32" t="inlineStr">
        <is>
          <t>1/1.00</t>
        </is>
      </c>
      <c r="C17" s="10" t="inlineStr">
        <is>
          <t>Rhone w/ WD</t>
        </is>
      </c>
      <c r="D17" s="21" t="n">
        <v>712</v>
      </c>
      <c r="E17" s="10" t="inlineStr">
        <is>
          <t>Current</t>
        </is>
      </c>
      <c r="F17" s="32" t="inlineStr">
        <is>
          <t>Occupied</t>
        </is>
      </c>
      <c r="G17" s="33" t="n">
        <v>1125</v>
      </c>
      <c r="H17" s="33" t="n">
        <v>1099</v>
      </c>
      <c r="I17" s="33">
        <f>IF(F17="Vacant",0,H17-G17)</f>
        <v/>
      </c>
      <c r="J17" s="34" t="n">
        <v>45717</v>
      </c>
      <c r="K17" s="34" t="n">
        <v>46356</v>
      </c>
      <c r="L17" s="32" t="inlineStr">
        <is>
          <t>Yes</t>
        </is>
      </c>
      <c r="M17" s="32">
        <f>IF(L17="Yes","A — in-place","B — vacant + laundry")</f>
        <v/>
      </c>
      <c r="N17" s="33">
        <f>IF(L17="Yes",Assumptions!$B$38,Assumptions!$B$49)</f>
        <v/>
      </c>
      <c r="O17" s="33">
        <f>IF(L17="Yes",Assumptions!$B$39,Assumptions!$B$50)</f>
        <v/>
      </c>
      <c r="P17" s="33">
        <f>G17+O17</f>
        <v/>
      </c>
    </row>
    <row r="18">
      <c r="A18" s="10" t="inlineStr">
        <is>
          <t>4025-C</t>
        </is>
      </c>
      <c r="B18" s="32" t="inlineStr">
        <is>
          <t>1/1.00</t>
        </is>
      </c>
      <c r="C18" s="10" t="inlineStr">
        <is>
          <t>Rhone w/ WD</t>
        </is>
      </c>
      <c r="D18" s="21" t="n">
        <v>712</v>
      </c>
      <c r="E18" s="10" t="inlineStr">
        <is>
          <t>Current</t>
        </is>
      </c>
      <c r="F18" s="32" t="inlineStr">
        <is>
          <t>Occupied</t>
        </is>
      </c>
      <c r="G18" s="33" t="n">
        <v>1125</v>
      </c>
      <c r="H18" s="33" t="n">
        <v>999</v>
      </c>
      <c r="I18" s="33">
        <f>IF(F18="Vacant",0,H18-G18)</f>
        <v/>
      </c>
      <c r="J18" s="34" t="n">
        <v>45991</v>
      </c>
      <c r="K18" s="34" t="n">
        <v>46385</v>
      </c>
      <c r="L18" s="32" t="inlineStr">
        <is>
          <t>Yes</t>
        </is>
      </c>
      <c r="M18" s="32">
        <f>IF(L18="Yes","A — in-place","B — vacant + laundry")</f>
        <v/>
      </c>
      <c r="N18" s="33">
        <f>IF(L18="Yes",Assumptions!$B$38,Assumptions!$B$49)</f>
        <v/>
      </c>
      <c r="O18" s="33">
        <f>IF(L18="Yes",Assumptions!$B$39,Assumptions!$B$50)</f>
        <v/>
      </c>
      <c r="P18" s="33">
        <f>G18+O18</f>
        <v/>
      </c>
    </row>
    <row r="19">
      <c r="A19" s="10" t="inlineStr">
        <is>
          <t>4025-E</t>
        </is>
      </c>
      <c r="B19" s="32" t="inlineStr">
        <is>
          <t>1/1.00</t>
        </is>
      </c>
      <c r="C19" s="10" t="inlineStr">
        <is>
          <t>Rhone w/ WD</t>
        </is>
      </c>
      <c r="D19" s="21" t="n">
        <v>712</v>
      </c>
      <c r="E19" s="10" t="inlineStr">
        <is>
          <t>Current</t>
        </is>
      </c>
      <c r="F19" s="32" t="inlineStr">
        <is>
          <t>Occupied</t>
        </is>
      </c>
      <c r="G19" s="33" t="n">
        <v>1125</v>
      </c>
      <c r="H19" s="33" t="n">
        <v>1079</v>
      </c>
      <c r="I19" s="33">
        <f>IF(F19="Vacant",0,H19-G19)</f>
        <v/>
      </c>
      <c r="J19" s="34" t="n">
        <v>45518</v>
      </c>
      <c r="K19" s="34" t="n">
        <v>46247</v>
      </c>
      <c r="L19" s="32" t="inlineStr">
        <is>
          <t>Yes</t>
        </is>
      </c>
      <c r="M19" s="32">
        <f>IF(L19="Yes","A — in-place","B — vacant + laundry")</f>
        <v/>
      </c>
      <c r="N19" s="33">
        <f>IF(L19="Yes",Assumptions!$B$38,Assumptions!$B$49)</f>
        <v/>
      </c>
      <c r="O19" s="33">
        <f>IF(L19="Yes",Assumptions!$B$39,Assumptions!$B$50)</f>
        <v/>
      </c>
      <c r="P19" s="33">
        <f>G19+O19</f>
        <v/>
      </c>
    </row>
    <row r="20">
      <c r="A20" s="10" t="inlineStr">
        <is>
          <t>4029-B</t>
        </is>
      </c>
      <c r="B20" s="32" t="inlineStr">
        <is>
          <t>1/1.00</t>
        </is>
      </c>
      <c r="C20" s="10" t="inlineStr">
        <is>
          <t>Abbey</t>
        </is>
      </c>
      <c r="D20" s="21" t="n">
        <v>712</v>
      </c>
      <c r="E20" s="10" t="inlineStr">
        <is>
          <t>Current</t>
        </is>
      </c>
      <c r="F20" s="32" t="inlineStr">
        <is>
          <t>Occupied</t>
        </is>
      </c>
      <c r="G20" s="33" t="n">
        <v>1050</v>
      </c>
      <c r="H20" s="33" t="n">
        <v>1044</v>
      </c>
      <c r="I20" s="33">
        <f>IF(F20="Vacant",0,H20-G20)</f>
        <v/>
      </c>
      <c r="J20" s="34" t="n">
        <v>46172</v>
      </c>
      <c r="K20" s="34" t="n">
        <v>46567</v>
      </c>
      <c r="L20" s="32" t="inlineStr">
        <is>
          <t>No</t>
        </is>
      </c>
      <c r="M20" s="32">
        <f>IF(L20="Yes","A — in-place","B — vacant + laundry")</f>
        <v/>
      </c>
      <c r="N20" s="33">
        <f>IF(L20="Yes",Assumptions!$B$38,Assumptions!$B$49)</f>
        <v/>
      </c>
      <c r="O20" s="33">
        <f>IF(L20="Yes",Assumptions!$B$39,Assumptions!$B$50)</f>
        <v/>
      </c>
      <c r="P20" s="33">
        <f>G20+O20</f>
        <v/>
      </c>
    </row>
    <row r="21">
      <c r="A21" s="10" t="inlineStr">
        <is>
          <t>4029-D</t>
        </is>
      </c>
      <c r="B21" s="32" t="inlineStr">
        <is>
          <t>1/1.00</t>
        </is>
      </c>
      <c r="C21" s="10" t="inlineStr">
        <is>
          <t>Abbey</t>
        </is>
      </c>
      <c r="D21" s="21" t="n">
        <v>712</v>
      </c>
      <c r="E21" s="10" t="inlineStr">
        <is>
          <t>Current</t>
        </is>
      </c>
      <c r="F21" s="32" t="inlineStr">
        <is>
          <t>Occupied</t>
        </is>
      </c>
      <c r="G21" s="33" t="n">
        <v>1050</v>
      </c>
      <c r="H21" s="33" t="n">
        <v>1044</v>
      </c>
      <c r="I21" s="33">
        <f>IF(F21="Vacant",0,H21-G21)</f>
        <v/>
      </c>
      <c r="J21" s="34" t="n">
        <v>45912</v>
      </c>
      <c r="K21" s="34" t="n">
        <v>46306</v>
      </c>
      <c r="L21" s="32" t="inlineStr">
        <is>
          <t>No</t>
        </is>
      </c>
      <c r="M21" s="32">
        <f>IF(L21="Yes","A — in-place","B — vacant + laundry")</f>
        <v/>
      </c>
      <c r="N21" s="33">
        <f>IF(L21="Yes",Assumptions!$B$38,Assumptions!$B$49)</f>
        <v/>
      </c>
      <c r="O21" s="33">
        <f>IF(L21="Yes",Assumptions!$B$39,Assumptions!$B$50)</f>
        <v/>
      </c>
      <c r="P21" s="33">
        <f>G21+O21</f>
        <v/>
      </c>
    </row>
    <row r="22">
      <c r="A22" s="10" t="inlineStr">
        <is>
          <t>4029-F</t>
        </is>
      </c>
      <c r="B22" s="32" t="inlineStr">
        <is>
          <t>1/1.00</t>
        </is>
      </c>
      <c r="C22" s="10" t="inlineStr">
        <is>
          <t>Abbey</t>
        </is>
      </c>
      <c r="D22" s="21" t="n">
        <v>712</v>
      </c>
      <c r="E22" s="10" t="inlineStr">
        <is>
          <t>Current</t>
        </is>
      </c>
      <c r="F22" s="32" t="inlineStr">
        <is>
          <t>Occupied</t>
        </is>
      </c>
      <c r="G22" s="33" t="n">
        <v>1050</v>
      </c>
      <c r="H22" s="33" t="n">
        <v>1044</v>
      </c>
      <c r="I22" s="33">
        <f>IF(F22="Vacant",0,H22-G22)</f>
        <v/>
      </c>
      <c r="J22" s="34" t="n">
        <v>43847</v>
      </c>
      <c r="K22" s="34" t="n"/>
      <c r="L22" s="32" t="inlineStr">
        <is>
          <t>No</t>
        </is>
      </c>
      <c r="M22" s="32">
        <f>IF(L22="Yes","A — in-place","B — vacant + laundry")</f>
        <v/>
      </c>
      <c r="N22" s="33">
        <f>IF(L22="Yes",Assumptions!$B$38,Assumptions!$B$49)</f>
        <v/>
      </c>
      <c r="O22" s="33">
        <f>IF(L22="Yes",Assumptions!$B$39,Assumptions!$B$50)</f>
        <v/>
      </c>
      <c r="P22" s="33">
        <f>G22+O22</f>
        <v/>
      </c>
    </row>
    <row r="23">
      <c r="A23" s="10" t="inlineStr">
        <is>
          <t>4033-A</t>
        </is>
      </c>
      <c r="B23" s="32" t="inlineStr">
        <is>
          <t>1/1.00</t>
        </is>
      </c>
      <c r="C23" s="10" t="inlineStr">
        <is>
          <t>Rhone w/ WD</t>
        </is>
      </c>
      <c r="D23" s="21" t="n">
        <v>712</v>
      </c>
      <c r="E23" s="10" t="inlineStr">
        <is>
          <t>Current</t>
        </is>
      </c>
      <c r="F23" s="32" t="inlineStr">
        <is>
          <t>Occupied</t>
        </is>
      </c>
      <c r="G23" s="33" t="n">
        <v>1125</v>
      </c>
      <c r="H23" s="33" t="n">
        <v>1084</v>
      </c>
      <c r="I23" s="33">
        <f>IF(F23="Vacant",0,H23-G23)</f>
        <v/>
      </c>
      <c r="J23" s="34" t="n">
        <v>45531</v>
      </c>
      <c r="K23" s="34" t="n">
        <v>46260</v>
      </c>
      <c r="L23" s="32" t="inlineStr">
        <is>
          <t>Yes</t>
        </is>
      </c>
      <c r="M23" s="32">
        <f>IF(L23="Yes","A — in-place","B — vacant + laundry")</f>
        <v/>
      </c>
      <c r="N23" s="33">
        <f>IF(L23="Yes",Assumptions!$B$38,Assumptions!$B$49)</f>
        <v/>
      </c>
      <c r="O23" s="33">
        <f>IF(L23="Yes",Assumptions!$B$39,Assumptions!$B$50)</f>
        <v/>
      </c>
      <c r="P23" s="33">
        <f>G23+O23</f>
        <v/>
      </c>
    </row>
    <row r="24">
      <c r="A24" s="10" t="inlineStr">
        <is>
          <t>4033-C</t>
        </is>
      </c>
      <c r="B24" s="32" t="inlineStr">
        <is>
          <t>1/1.00</t>
        </is>
      </c>
      <c r="C24" s="10" t="inlineStr">
        <is>
          <t>Rhone w/ WD</t>
        </is>
      </c>
      <c r="D24" s="21" t="n">
        <v>712</v>
      </c>
      <c r="E24" s="10" t="inlineStr">
        <is>
          <t>Current</t>
        </is>
      </c>
      <c r="F24" s="32" t="inlineStr">
        <is>
          <t>Occupied</t>
        </is>
      </c>
      <c r="G24" s="33" t="n">
        <v>1125</v>
      </c>
      <c r="H24" s="33" t="n">
        <v>1109</v>
      </c>
      <c r="I24" s="33">
        <f>IF(F24="Vacant",0,H24-G24)</f>
        <v/>
      </c>
      <c r="J24" s="34" t="n">
        <v>46130</v>
      </c>
      <c r="K24" s="34" t="n">
        <v>46524</v>
      </c>
      <c r="L24" s="32" t="inlineStr">
        <is>
          <t>Yes</t>
        </is>
      </c>
      <c r="M24" s="32">
        <f>IF(L24="Yes","A — in-place","B — vacant + laundry")</f>
        <v/>
      </c>
      <c r="N24" s="33">
        <f>IF(L24="Yes",Assumptions!$B$38,Assumptions!$B$49)</f>
        <v/>
      </c>
      <c r="O24" s="33">
        <f>IF(L24="Yes",Assumptions!$B$39,Assumptions!$B$50)</f>
        <v/>
      </c>
      <c r="P24" s="33">
        <f>G24+O24</f>
        <v/>
      </c>
    </row>
    <row r="25">
      <c r="A25" s="10" t="inlineStr">
        <is>
          <t>4033-E</t>
        </is>
      </c>
      <c r="B25" s="32" t="inlineStr">
        <is>
          <t>1/1.00</t>
        </is>
      </c>
      <c r="C25" s="10" t="inlineStr">
        <is>
          <t>Rhone w/ WD</t>
        </is>
      </c>
      <c r="D25" s="21" t="n">
        <v>712</v>
      </c>
      <c r="E25" s="10" t="inlineStr">
        <is>
          <t>Current</t>
        </is>
      </c>
      <c r="F25" s="32" t="inlineStr">
        <is>
          <t>Occupied</t>
        </is>
      </c>
      <c r="G25" s="33" t="n">
        <v>1125</v>
      </c>
      <c r="H25" s="33" t="n">
        <v>1109</v>
      </c>
      <c r="I25" s="33">
        <f>IF(F25="Vacant",0,H25-G25)</f>
        <v/>
      </c>
      <c r="J25" s="34" t="n">
        <v>40207</v>
      </c>
      <c r="K25" s="34" t="n">
        <v>46418</v>
      </c>
      <c r="L25" s="32" t="inlineStr">
        <is>
          <t>Yes</t>
        </is>
      </c>
      <c r="M25" s="32">
        <f>IF(L25="Yes","A — in-place","B — vacant + laundry")</f>
        <v/>
      </c>
      <c r="N25" s="33">
        <f>IF(L25="Yes",Assumptions!$B$38,Assumptions!$B$49)</f>
        <v/>
      </c>
      <c r="O25" s="33">
        <f>IF(L25="Yes",Assumptions!$B$39,Assumptions!$B$50)</f>
        <v/>
      </c>
      <c r="P25" s="33">
        <f>G25+O25</f>
        <v/>
      </c>
    </row>
    <row r="26">
      <c r="A26" s="10" t="inlineStr">
        <is>
          <t>4034-B</t>
        </is>
      </c>
      <c r="B26" s="32" t="inlineStr">
        <is>
          <t>1/1.00</t>
        </is>
      </c>
      <c r="C26" s="10" t="inlineStr">
        <is>
          <t>Abbey</t>
        </is>
      </c>
      <c r="D26" s="21" t="n">
        <v>712</v>
      </c>
      <c r="E26" s="10" t="inlineStr">
        <is>
          <t>Current</t>
        </is>
      </c>
      <c r="F26" s="32" t="inlineStr">
        <is>
          <t>Occupied</t>
        </is>
      </c>
      <c r="G26" s="33" t="n">
        <v>1050</v>
      </c>
      <c r="H26" s="33" t="n">
        <v>1029</v>
      </c>
      <c r="I26" s="33">
        <f>IF(F26="Vacant",0,H26-G26)</f>
        <v/>
      </c>
      <c r="J26" s="34" t="n">
        <v>44680</v>
      </c>
      <c r="K26" s="34" t="n">
        <v>46505</v>
      </c>
      <c r="L26" s="32" t="inlineStr">
        <is>
          <t>No</t>
        </is>
      </c>
      <c r="M26" s="32">
        <f>IF(L26="Yes","A — in-place","B — vacant + laundry")</f>
        <v/>
      </c>
      <c r="N26" s="33">
        <f>IF(L26="Yes",Assumptions!$B$38,Assumptions!$B$49)</f>
        <v/>
      </c>
      <c r="O26" s="33">
        <f>IF(L26="Yes",Assumptions!$B$39,Assumptions!$B$50)</f>
        <v/>
      </c>
      <c r="P26" s="33">
        <f>G26+O26</f>
        <v/>
      </c>
    </row>
    <row r="27">
      <c r="A27" s="10" t="inlineStr">
        <is>
          <t>4034-D</t>
        </is>
      </c>
      <c r="B27" s="32" t="inlineStr">
        <is>
          <t>1/1.00</t>
        </is>
      </c>
      <c r="C27" s="10" t="inlineStr">
        <is>
          <t>Abbey</t>
        </is>
      </c>
      <c r="D27" s="21" t="n">
        <v>712</v>
      </c>
      <c r="E27" s="10" t="inlineStr">
        <is>
          <t>Current</t>
        </is>
      </c>
      <c r="F27" s="32" t="inlineStr">
        <is>
          <t>Occupied</t>
        </is>
      </c>
      <c r="G27" s="33" t="n">
        <v>1050</v>
      </c>
      <c r="H27" s="33" t="n">
        <v>1044</v>
      </c>
      <c r="I27" s="33">
        <f>IF(F27="Vacant",0,H27-G27)</f>
        <v/>
      </c>
      <c r="J27" s="34" t="n">
        <v>45961</v>
      </c>
      <c r="K27" s="34" t="n">
        <v>46356</v>
      </c>
      <c r="L27" s="32" t="inlineStr">
        <is>
          <t>No</t>
        </is>
      </c>
      <c r="M27" s="32">
        <f>IF(L27="Yes","A — in-place","B — vacant + laundry")</f>
        <v/>
      </c>
      <c r="N27" s="33">
        <f>IF(L27="Yes",Assumptions!$B$38,Assumptions!$B$49)</f>
        <v/>
      </c>
      <c r="O27" s="33">
        <f>IF(L27="Yes",Assumptions!$B$39,Assumptions!$B$50)</f>
        <v/>
      </c>
      <c r="P27" s="33">
        <f>G27+O27</f>
        <v/>
      </c>
    </row>
    <row r="28">
      <c r="A28" s="10" t="inlineStr">
        <is>
          <t>4034-F</t>
        </is>
      </c>
      <c r="B28" s="32" t="inlineStr">
        <is>
          <t>1/1.00</t>
        </is>
      </c>
      <c r="C28" s="10" t="inlineStr">
        <is>
          <t>Abbey</t>
        </is>
      </c>
      <c r="D28" s="21" t="n">
        <v>712</v>
      </c>
      <c r="E28" s="10" t="inlineStr">
        <is>
          <t>Current</t>
        </is>
      </c>
      <c r="F28" s="32" t="inlineStr">
        <is>
          <t>Occupied</t>
        </is>
      </c>
      <c r="G28" s="33" t="n">
        <v>1050</v>
      </c>
      <c r="H28" s="33" t="n">
        <v>1044</v>
      </c>
      <c r="I28" s="33">
        <f>IF(F28="Vacant",0,H28-G28)</f>
        <v/>
      </c>
      <c r="J28" s="34" t="n">
        <v>46105</v>
      </c>
      <c r="K28" s="34" t="n">
        <v>46500</v>
      </c>
      <c r="L28" s="32" t="inlineStr">
        <is>
          <t>No</t>
        </is>
      </c>
      <c r="M28" s="32">
        <f>IF(L28="Yes","A — in-place","B — vacant + laundry")</f>
        <v/>
      </c>
      <c r="N28" s="33">
        <f>IF(L28="Yes",Assumptions!$B$38,Assumptions!$B$49)</f>
        <v/>
      </c>
      <c r="O28" s="33">
        <f>IF(L28="Yes",Assumptions!$B$39,Assumptions!$B$50)</f>
        <v/>
      </c>
      <c r="P28" s="33">
        <f>G28+O28</f>
        <v/>
      </c>
    </row>
    <row r="29">
      <c r="A29" s="10" t="inlineStr">
        <is>
          <t>4037-D</t>
        </is>
      </c>
      <c r="B29" s="32" t="inlineStr">
        <is>
          <t>1/1.00</t>
        </is>
      </c>
      <c r="C29" s="10" t="inlineStr">
        <is>
          <t>Abbey</t>
        </is>
      </c>
      <c r="D29" s="21" t="n">
        <v>712</v>
      </c>
      <c r="E29" s="10" t="inlineStr">
        <is>
          <t>Current</t>
        </is>
      </c>
      <c r="F29" s="32" t="inlineStr">
        <is>
          <t>Occupied</t>
        </is>
      </c>
      <c r="G29" s="33" t="n">
        <v>1050</v>
      </c>
      <c r="H29" s="33" t="n">
        <v>1044</v>
      </c>
      <c r="I29" s="33">
        <f>IF(F29="Vacant",0,H29-G29)</f>
        <v/>
      </c>
      <c r="J29" s="34" t="n">
        <v>46101</v>
      </c>
      <c r="K29" s="34" t="n">
        <v>46496</v>
      </c>
      <c r="L29" s="32" t="inlineStr">
        <is>
          <t>No</t>
        </is>
      </c>
      <c r="M29" s="32">
        <f>IF(L29="Yes","A — in-place","B — vacant + laundry")</f>
        <v/>
      </c>
      <c r="N29" s="33">
        <f>IF(L29="Yes",Assumptions!$B$38,Assumptions!$B$49)</f>
        <v/>
      </c>
      <c r="O29" s="33">
        <f>IF(L29="Yes",Assumptions!$B$39,Assumptions!$B$50)</f>
        <v/>
      </c>
      <c r="P29" s="33">
        <f>G29+O29</f>
        <v/>
      </c>
    </row>
    <row r="30">
      <c r="A30" s="10" t="inlineStr">
        <is>
          <t>4037-F</t>
        </is>
      </c>
      <c r="B30" s="32" t="inlineStr">
        <is>
          <t>1/1.00</t>
        </is>
      </c>
      <c r="C30" s="10" t="inlineStr">
        <is>
          <t>Abbey</t>
        </is>
      </c>
      <c r="D30" s="21" t="n">
        <v>712</v>
      </c>
      <c r="E30" s="10" t="inlineStr">
        <is>
          <t>Current</t>
        </is>
      </c>
      <c r="F30" s="32" t="inlineStr">
        <is>
          <t>Occupied</t>
        </is>
      </c>
      <c r="G30" s="33" t="n">
        <v>1050</v>
      </c>
      <c r="H30" s="33" t="n">
        <v>1044</v>
      </c>
      <c r="I30" s="33">
        <f>IF(F30="Vacant",0,H30-G30)</f>
        <v/>
      </c>
      <c r="J30" s="34" t="n">
        <v>45566</v>
      </c>
      <c r="K30" s="34" t="n">
        <v>46295</v>
      </c>
      <c r="L30" s="32" t="inlineStr">
        <is>
          <t>No</t>
        </is>
      </c>
      <c r="M30" s="32">
        <f>IF(L30="Yes","A — in-place","B — vacant + laundry")</f>
        <v/>
      </c>
      <c r="N30" s="33">
        <f>IF(L30="Yes",Assumptions!$B$38,Assumptions!$B$49)</f>
        <v/>
      </c>
      <c r="O30" s="33">
        <f>IF(L30="Yes",Assumptions!$B$39,Assumptions!$B$50)</f>
        <v/>
      </c>
      <c r="P30" s="33">
        <f>G30+O30</f>
        <v/>
      </c>
    </row>
    <row r="31">
      <c r="A31" s="10" t="inlineStr">
        <is>
          <t>4038-A</t>
        </is>
      </c>
      <c r="B31" s="32" t="inlineStr">
        <is>
          <t>1/1.00</t>
        </is>
      </c>
      <c r="C31" s="10" t="inlineStr">
        <is>
          <t>Rhone w/ WD</t>
        </is>
      </c>
      <c r="D31" s="21" t="n">
        <v>712</v>
      </c>
      <c r="E31" s="10" t="inlineStr">
        <is>
          <t>Current</t>
        </is>
      </c>
      <c r="F31" s="32" t="inlineStr">
        <is>
          <t>Occupied</t>
        </is>
      </c>
      <c r="G31" s="33" t="n">
        <v>1125</v>
      </c>
      <c r="H31" s="33" t="n">
        <v>1094</v>
      </c>
      <c r="I31" s="33">
        <f>IF(F31="Vacant",0,H31-G31)</f>
        <v/>
      </c>
      <c r="J31" s="34" t="n">
        <v>45710</v>
      </c>
      <c r="K31" s="34" t="n">
        <v>46439</v>
      </c>
      <c r="L31" s="32" t="inlineStr">
        <is>
          <t>Yes</t>
        </is>
      </c>
      <c r="M31" s="32">
        <f>IF(L31="Yes","A — in-place","B — vacant + laundry")</f>
        <v/>
      </c>
      <c r="N31" s="33">
        <f>IF(L31="Yes",Assumptions!$B$38,Assumptions!$B$49)</f>
        <v/>
      </c>
      <c r="O31" s="33">
        <f>IF(L31="Yes",Assumptions!$B$39,Assumptions!$B$50)</f>
        <v/>
      </c>
      <c r="P31" s="33">
        <f>G31+O31</f>
        <v/>
      </c>
    </row>
    <row r="32">
      <c r="A32" s="10" t="inlineStr">
        <is>
          <t>4038-E</t>
        </is>
      </c>
      <c r="B32" s="32" t="inlineStr">
        <is>
          <t>1/1.00</t>
        </is>
      </c>
      <c r="C32" s="10" t="inlineStr">
        <is>
          <t>Rhone w/ WD</t>
        </is>
      </c>
      <c r="D32" s="21" t="n">
        <v>712</v>
      </c>
      <c r="E32" s="10" t="inlineStr">
        <is>
          <t>Current</t>
        </is>
      </c>
      <c r="F32" s="32" t="inlineStr">
        <is>
          <t>Occupied</t>
        </is>
      </c>
      <c r="G32" s="33" t="n">
        <v>1125</v>
      </c>
      <c r="H32" s="33" t="n">
        <v>1109</v>
      </c>
      <c r="I32" s="33">
        <f>IF(F32="Vacant",0,H32-G32)</f>
        <v/>
      </c>
      <c r="J32" s="34" t="n">
        <v>45919</v>
      </c>
      <c r="K32" s="34" t="n">
        <v>46313</v>
      </c>
      <c r="L32" s="32" t="inlineStr">
        <is>
          <t>Yes</t>
        </is>
      </c>
      <c r="M32" s="32">
        <f>IF(L32="Yes","A — in-place","B — vacant + laundry")</f>
        <v/>
      </c>
      <c r="N32" s="33">
        <f>IF(L32="Yes",Assumptions!$B$38,Assumptions!$B$49)</f>
        <v/>
      </c>
      <c r="O32" s="33">
        <f>IF(L32="Yes",Assumptions!$B$39,Assumptions!$B$50)</f>
        <v/>
      </c>
      <c r="P32" s="33">
        <f>G32+O32</f>
        <v/>
      </c>
    </row>
    <row r="33">
      <c r="A33" s="10" t="inlineStr">
        <is>
          <t>4038-C</t>
        </is>
      </c>
      <c r="B33" s="32" t="inlineStr">
        <is>
          <t>1/1.00</t>
        </is>
      </c>
      <c r="C33" s="10" t="inlineStr">
        <is>
          <t>Rhone w/ WD</t>
        </is>
      </c>
      <c r="D33" s="21" t="n">
        <v>712</v>
      </c>
      <c r="E33" s="10" t="inlineStr">
        <is>
          <t>Evict</t>
        </is>
      </c>
      <c r="F33" s="32" t="inlineStr">
        <is>
          <t>Occupied</t>
        </is>
      </c>
      <c r="G33" s="33" t="n">
        <v>1125</v>
      </c>
      <c r="H33" s="33" t="n">
        <v>1109</v>
      </c>
      <c r="I33" s="33">
        <f>IF(F33="Vacant",0,H33-G33)</f>
        <v/>
      </c>
      <c r="J33" s="34" t="n">
        <v>46066</v>
      </c>
      <c r="K33" s="34" t="n">
        <v>46458</v>
      </c>
      <c r="L33" s="32" t="inlineStr">
        <is>
          <t>Yes</t>
        </is>
      </c>
      <c r="M33" s="32">
        <f>IF(L33="Yes","A — in-place","B — vacant + laundry")</f>
        <v/>
      </c>
      <c r="N33" s="33">
        <f>IF(L33="Yes",Assumptions!$B$38,Assumptions!$B$49)</f>
        <v/>
      </c>
      <c r="O33" s="33">
        <f>IF(L33="Yes",Assumptions!$B$39,Assumptions!$B$50)</f>
        <v/>
      </c>
      <c r="P33" s="33">
        <f>G33+O33</f>
        <v/>
      </c>
    </row>
    <row r="34">
      <c r="A34" s="10" t="inlineStr">
        <is>
          <t>4025-A</t>
        </is>
      </c>
      <c r="B34" s="32" t="inlineStr">
        <is>
          <t>1/1.00</t>
        </is>
      </c>
      <c r="C34" s="10" t="inlineStr">
        <is>
          <t>Rhone w/ WD</t>
        </is>
      </c>
      <c r="D34" s="21" t="n">
        <v>712</v>
      </c>
      <c r="E34" s="10" t="inlineStr">
        <is>
          <t>Notice-Unrented</t>
        </is>
      </c>
      <c r="F34" s="32" t="inlineStr">
        <is>
          <t>Occupied</t>
        </is>
      </c>
      <c r="G34" s="33" t="n">
        <v>1125</v>
      </c>
      <c r="H34" s="33" t="n">
        <v>1079</v>
      </c>
      <c r="I34" s="33">
        <f>IF(F34="Vacant",0,H34-G34)</f>
        <v/>
      </c>
      <c r="J34" s="34" t="n">
        <v>45506</v>
      </c>
      <c r="K34" s="34" t="n">
        <v>46235</v>
      </c>
      <c r="L34" s="32" t="inlineStr">
        <is>
          <t>Yes</t>
        </is>
      </c>
      <c r="M34" s="32">
        <f>IF(L34="Yes","A — in-place","B — vacant + laundry")</f>
        <v/>
      </c>
      <c r="N34" s="33">
        <f>IF(L34="Yes",Assumptions!$B$38,Assumptions!$B$49)</f>
        <v/>
      </c>
      <c r="O34" s="33">
        <f>IF(L34="Yes",Assumptions!$B$39,Assumptions!$B$50)</f>
        <v/>
      </c>
      <c r="P34" s="33">
        <f>G34+O34</f>
        <v/>
      </c>
    </row>
    <row r="35">
      <c r="A35" s="10" t="inlineStr">
        <is>
          <t>4037-B</t>
        </is>
      </c>
      <c r="B35" s="32" t="inlineStr">
        <is>
          <t>1/1.00</t>
        </is>
      </c>
      <c r="C35" s="10" t="inlineStr">
        <is>
          <t>Abbey</t>
        </is>
      </c>
      <c r="D35" s="21" t="n">
        <v>712</v>
      </c>
      <c r="E35" s="10" t="inlineStr">
        <is>
          <t>Notice-Unrented</t>
        </is>
      </c>
      <c r="F35" s="32" t="inlineStr">
        <is>
          <t>Occupied</t>
        </is>
      </c>
      <c r="G35" s="33" t="n">
        <v>1050</v>
      </c>
      <c r="H35" s="33" t="n">
        <v>1044</v>
      </c>
      <c r="I35" s="33">
        <f>IF(F35="Vacant",0,H35-G35)</f>
        <v/>
      </c>
      <c r="J35" s="34" t="n">
        <v>45878</v>
      </c>
      <c r="K35" s="34" t="n">
        <v>46242</v>
      </c>
      <c r="L35" s="32" t="inlineStr">
        <is>
          <t>No</t>
        </is>
      </c>
      <c r="M35" s="32">
        <f>IF(L35="Yes","A — in-place","B — vacant + laundry")</f>
        <v/>
      </c>
      <c r="N35" s="33">
        <f>IF(L35="Yes",Assumptions!$B$38,Assumptions!$B$49)</f>
        <v/>
      </c>
      <c r="O35" s="33">
        <f>IF(L35="Yes",Assumptions!$B$39,Assumptions!$B$50)</f>
        <v/>
      </c>
      <c r="P35" s="33">
        <f>G35+O35</f>
        <v/>
      </c>
    </row>
    <row r="36">
      <c r="A36" s="10" t="inlineStr">
        <is>
          <t>4010-B</t>
        </is>
      </c>
      <c r="B36" s="32" t="inlineStr">
        <is>
          <t>1/1.50</t>
        </is>
      </c>
      <c r="C36" s="10" t="inlineStr">
        <is>
          <t>Roman w/ WD</t>
        </is>
      </c>
      <c r="D36" s="21" t="n">
        <v>852</v>
      </c>
      <c r="E36" s="10" t="inlineStr">
        <is>
          <t>Current</t>
        </is>
      </c>
      <c r="F36" s="32" t="inlineStr">
        <is>
          <t>Occupied</t>
        </is>
      </c>
      <c r="G36" s="33" t="n">
        <v>1165</v>
      </c>
      <c r="H36" s="33" t="n">
        <v>1164</v>
      </c>
      <c r="I36" s="33">
        <f>IF(F36="Vacant",0,H36-G36)</f>
        <v/>
      </c>
      <c r="J36" s="34" t="n">
        <v>45423</v>
      </c>
      <c r="K36" s="34" t="n">
        <v>46336</v>
      </c>
      <c r="L36" s="32" t="inlineStr">
        <is>
          <t>Yes</t>
        </is>
      </c>
      <c r="M36" s="32">
        <f>IF(L36="Yes","A — in-place","B — vacant + laundry")</f>
        <v/>
      </c>
      <c r="N36" s="33">
        <f>IF(L36="Yes",Assumptions!$B$38,Assumptions!$B$49)</f>
        <v/>
      </c>
      <c r="O36" s="33">
        <f>IF(L36="Yes",Assumptions!$B$39,Assumptions!$B$50)</f>
        <v/>
      </c>
      <c r="P36" s="33">
        <f>G36+O36</f>
        <v/>
      </c>
    </row>
    <row r="37">
      <c r="A37" s="10" t="inlineStr">
        <is>
          <t>4013-B</t>
        </is>
      </c>
      <c r="B37" s="32" t="inlineStr">
        <is>
          <t>1/1.50</t>
        </is>
      </c>
      <c r="C37" s="10" t="inlineStr">
        <is>
          <t>Roman w/ WD</t>
        </is>
      </c>
      <c r="D37" s="21" t="n">
        <v>852</v>
      </c>
      <c r="E37" s="10" t="inlineStr">
        <is>
          <t>Current</t>
        </is>
      </c>
      <c r="F37" s="32" t="inlineStr">
        <is>
          <t>Occupied</t>
        </is>
      </c>
      <c r="G37" s="33" t="n">
        <v>1165</v>
      </c>
      <c r="H37" s="33" t="n">
        <v>1174</v>
      </c>
      <c r="I37" s="33">
        <f>IF(F37="Vacant",0,H37-G37)</f>
        <v/>
      </c>
      <c r="J37" s="34" t="n">
        <v>44926</v>
      </c>
      <c r="K37" s="34" t="n">
        <v>46417</v>
      </c>
      <c r="L37" s="32" t="inlineStr">
        <is>
          <t>Yes</t>
        </is>
      </c>
      <c r="M37" s="32">
        <f>IF(L37="Yes","A — in-place","B — vacant + laundry")</f>
        <v/>
      </c>
      <c r="N37" s="33">
        <f>IF(L37="Yes",Assumptions!$B$38,Assumptions!$B$49)</f>
        <v/>
      </c>
      <c r="O37" s="33">
        <f>IF(L37="Yes",Assumptions!$B$39,Assumptions!$B$50)</f>
        <v/>
      </c>
      <c r="P37" s="33">
        <f>G37+O37</f>
        <v/>
      </c>
    </row>
    <row r="38">
      <c r="A38" s="10" t="inlineStr">
        <is>
          <t>4021-B</t>
        </is>
      </c>
      <c r="B38" s="32" t="inlineStr">
        <is>
          <t>1/1.50</t>
        </is>
      </c>
      <c r="C38" s="10" t="inlineStr">
        <is>
          <t>Roman w/ WD</t>
        </is>
      </c>
      <c r="D38" s="21" t="n">
        <v>852</v>
      </c>
      <c r="E38" s="10" t="inlineStr">
        <is>
          <t>Current</t>
        </is>
      </c>
      <c r="F38" s="32" t="inlineStr">
        <is>
          <t>Occupied</t>
        </is>
      </c>
      <c r="G38" s="33" t="n">
        <v>1165</v>
      </c>
      <c r="H38" s="33" t="n">
        <v>1159</v>
      </c>
      <c r="I38" s="33">
        <f>IF(F38="Vacant",0,H38-G38)</f>
        <v/>
      </c>
      <c r="J38" s="34" t="n">
        <v>43709</v>
      </c>
      <c r="K38" s="34" t="n">
        <v>46445</v>
      </c>
      <c r="L38" s="32" t="inlineStr">
        <is>
          <t>Yes</t>
        </is>
      </c>
      <c r="M38" s="32">
        <f>IF(L38="Yes","A — in-place","B — vacant + laundry")</f>
        <v/>
      </c>
      <c r="N38" s="33">
        <f>IF(L38="Yes",Assumptions!$B$38,Assumptions!$B$49)</f>
        <v/>
      </c>
      <c r="O38" s="33">
        <f>IF(L38="Yes",Assumptions!$B$39,Assumptions!$B$50)</f>
        <v/>
      </c>
      <c r="P38" s="33">
        <f>G38+O38</f>
        <v/>
      </c>
    </row>
    <row r="39">
      <c r="A39" s="10" t="inlineStr">
        <is>
          <t>4045-B</t>
        </is>
      </c>
      <c r="B39" s="32" t="inlineStr">
        <is>
          <t>1/1.50</t>
        </is>
      </c>
      <c r="C39" s="10" t="inlineStr">
        <is>
          <t>Roman w/ WD</t>
        </is>
      </c>
      <c r="D39" s="21" t="n">
        <v>852</v>
      </c>
      <c r="E39" s="10" t="inlineStr">
        <is>
          <t>Current</t>
        </is>
      </c>
      <c r="F39" s="32" t="inlineStr">
        <is>
          <t>Occupied</t>
        </is>
      </c>
      <c r="G39" s="33" t="n">
        <v>1165</v>
      </c>
      <c r="H39" s="33" t="n">
        <v>1159</v>
      </c>
      <c r="I39" s="33">
        <f>IF(F39="Vacant",0,H39-G39)</f>
        <v/>
      </c>
      <c r="J39" s="34" t="n">
        <v>45044</v>
      </c>
      <c r="K39" s="34" t="n">
        <v>46504</v>
      </c>
      <c r="L39" s="32" t="inlineStr">
        <is>
          <t>Yes</t>
        </is>
      </c>
      <c r="M39" s="32">
        <f>IF(L39="Yes","A — in-place","B — vacant + laundry")</f>
        <v/>
      </c>
      <c r="N39" s="33">
        <f>IF(L39="Yes",Assumptions!$B$38,Assumptions!$B$49)</f>
        <v/>
      </c>
      <c r="O39" s="33">
        <f>IF(L39="Yes",Assumptions!$B$39,Assumptions!$B$50)</f>
        <v/>
      </c>
      <c r="P39" s="33">
        <f>G39+O39</f>
        <v/>
      </c>
    </row>
    <row r="40">
      <c r="A40" s="10" t="inlineStr">
        <is>
          <t>4010-A</t>
        </is>
      </c>
      <c r="B40" s="32" t="inlineStr">
        <is>
          <t>2/1.00</t>
        </is>
      </c>
      <c r="C40" s="10" t="inlineStr">
        <is>
          <t>Cabernet w/ WD</t>
        </is>
      </c>
      <c r="D40" s="21" t="n">
        <v>1182</v>
      </c>
      <c r="E40" s="10" t="inlineStr">
        <is>
          <t>Current</t>
        </is>
      </c>
      <c r="F40" s="32" t="inlineStr">
        <is>
          <t>Occupied</t>
        </is>
      </c>
      <c r="G40" s="33" t="n">
        <v>1350</v>
      </c>
      <c r="H40" s="33" t="n">
        <v>1329</v>
      </c>
      <c r="I40" s="33">
        <f>IF(F40="Vacant",0,H40-G40)</f>
        <v/>
      </c>
      <c r="J40" s="34" t="n">
        <v>44708</v>
      </c>
      <c r="K40" s="34" t="n">
        <v>46533</v>
      </c>
      <c r="L40" s="32" t="inlineStr">
        <is>
          <t>Yes</t>
        </is>
      </c>
      <c r="M40" s="32">
        <f>IF(L40="Yes","A — in-place","B — vacant + laundry")</f>
        <v/>
      </c>
      <c r="N40" s="33">
        <f>IF(L40="Yes",Assumptions!$B$38,Assumptions!$B$49)</f>
        <v/>
      </c>
      <c r="O40" s="33">
        <f>IF(L40="Yes",Assumptions!$B$39,Assumptions!$B$50)</f>
        <v/>
      </c>
      <c r="P40" s="33">
        <f>G40+O40</f>
        <v/>
      </c>
    </row>
    <row r="41">
      <c r="A41" s="10" t="inlineStr">
        <is>
          <t>4013-A</t>
        </is>
      </c>
      <c r="B41" s="32" t="inlineStr">
        <is>
          <t>2/1.00</t>
        </is>
      </c>
      <c r="C41" s="10" t="inlineStr">
        <is>
          <t>Cabernet w/ WD</t>
        </is>
      </c>
      <c r="D41" s="21" t="n">
        <v>1182</v>
      </c>
      <c r="E41" s="10" t="inlineStr">
        <is>
          <t>Current</t>
        </is>
      </c>
      <c r="F41" s="32" t="inlineStr">
        <is>
          <t>Occupied</t>
        </is>
      </c>
      <c r="G41" s="33" t="n">
        <v>1350</v>
      </c>
      <c r="H41" s="33" t="n">
        <v>1343</v>
      </c>
      <c r="I41" s="33">
        <f>IF(F41="Vacant",0,H41-G41)</f>
        <v/>
      </c>
      <c r="J41" s="34" t="n">
        <v>45077</v>
      </c>
      <c r="K41" s="34" t="n"/>
      <c r="L41" s="32" t="inlineStr">
        <is>
          <t>Yes</t>
        </is>
      </c>
      <c r="M41" s="32">
        <f>IF(L41="Yes","A — in-place","B — vacant + laundry")</f>
        <v/>
      </c>
      <c r="N41" s="33">
        <f>IF(L41="Yes",Assumptions!$B$38,Assumptions!$B$49)</f>
        <v/>
      </c>
      <c r="O41" s="33">
        <f>IF(L41="Yes",Assumptions!$B$39,Assumptions!$B$50)</f>
        <v/>
      </c>
      <c r="P41" s="33">
        <f>G41+O41</f>
        <v/>
      </c>
    </row>
    <row r="42">
      <c r="A42" s="10" t="inlineStr">
        <is>
          <t>4021-A</t>
        </is>
      </c>
      <c r="B42" s="32" t="inlineStr">
        <is>
          <t>2/1.00</t>
        </is>
      </c>
      <c r="C42" s="10" t="inlineStr">
        <is>
          <t>Cabernet w/ WD</t>
        </is>
      </c>
      <c r="D42" s="21" t="n">
        <v>1182</v>
      </c>
      <c r="E42" s="10" t="inlineStr">
        <is>
          <t>Current</t>
        </is>
      </c>
      <c r="F42" s="32" t="inlineStr">
        <is>
          <t>Occupied</t>
        </is>
      </c>
      <c r="G42" s="33" t="n">
        <v>1350</v>
      </c>
      <c r="H42" s="33" t="n">
        <v>1337</v>
      </c>
      <c r="I42" s="33">
        <f>IF(F42="Vacant",0,H42-G42)</f>
        <v/>
      </c>
      <c r="J42" s="34" t="n">
        <v>44459</v>
      </c>
      <c r="K42" s="34" t="n">
        <v>46284</v>
      </c>
      <c r="L42" s="32" t="inlineStr">
        <is>
          <t>Yes</t>
        </is>
      </c>
      <c r="M42" s="32">
        <f>IF(L42="Yes","A — in-place","B — vacant + laundry")</f>
        <v/>
      </c>
      <c r="N42" s="33">
        <f>IF(L42="Yes",Assumptions!$B$38,Assumptions!$B$49)</f>
        <v/>
      </c>
      <c r="O42" s="33">
        <f>IF(L42="Yes",Assumptions!$B$39,Assumptions!$B$50)</f>
        <v/>
      </c>
      <c r="P42" s="33">
        <f>G42+O42</f>
        <v/>
      </c>
    </row>
    <row r="43">
      <c r="A43" s="10" t="inlineStr">
        <is>
          <t>4045-A</t>
        </is>
      </c>
      <c r="B43" s="32" t="inlineStr">
        <is>
          <t>2/1.00</t>
        </is>
      </c>
      <c r="C43" s="10" t="inlineStr">
        <is>
          <t>Cabernet w/ WD</t>
        </is>
      </c>
      <c r="D43" s="21" t="n">
        <v>1182</v>
      </c>
      <c r="E43" s="10" t="inlineStr">
        <is>
          <t>Current</t>
        </is>
      </c>
      <c r="F43" s="32" t="inlineStr">
        <is>
          <t>Occupied</t>
        </is>
      </c>
      <c r="G43" s="33" t="n">
        <v>1350</v>
      </c>
      <c r="H43" s="33" t="n">
        <v>1343</v>
      </c>
      <c r="I43" s="33">
        <f>IF(F43="Vacant",0,H43-G43)</f>
        <v/>
      </c>
      <c r="J43" s="34" t="n">
        <v>46112</v>
      </c>
      <c r="K43" s="34" t="n">
        <v>46506</v>
      </c>
      <c r="L43" s="32" t="inlineStr">
        <is>
          <t>Yes</t>
        </is>
      </c>
      <c r="M43" s="32">
        <f>IF(L43="Yes","A — in-place","B — vacant + laundry")</f>
        <v/>
      </c>
      <c r="N43" s="33">
        <f>IF(L43="Yes",Assumptions!$B$38,Assumptions!$B$49)</f>
        <v/>
      </c>
      <c r="O43" s="33">
        <f>IF(L43="Yes",Assumptions!$B$39,Assumptions!$B$50)</f>
        <v/>
      </c>
      <c r="P43" s="33">
        <f>G43+O43</f>
        <v/>
      </c>
    </row>
    <row r="44">
      <c r="A44" s="10" t="inlineStr">
        <is>
          <t>4009-A</t>
        </is>
      </c>
      <c r="B44" s="32" t="inlineStr">
        <is>
          <t>2/2.00</t>
        </is>
      </c>
      <c r="C44" s="10" t="inlineStr">
        <is>
          <t>Verdun</t>
        </is>
      </c>
      <c r="D44" s="21" t="n">
        <v>1105</v>
      </c>
      <c r="E44" s="10" t="inlineStr">
        <is>
          <t>Current</t>
        </is>
      </c>
      <c r="F44" s="32" t="inlineStr">
        <is>
          <t>Occupied</t>
        </is>
      </c>
      <c r="G44" s="33" t="n">
        <v>1250</v>
      </c>
      <c r="H44" s="33" t="n">
        <v>1212</v>
      </c>
      <c r="I44" s="33">
        <f>IF(F44="Vacant",0,H44-G44)</f>
        <v/>
      </c>
      <c r="J44" s="34" t="n">
        <v>44862</v>
      </c>
      <c r="K44" s="34" t="n">
        <v>46322</v>
      </c>
      <c r="L44" s="32" t="inlineStr">
        <is>
          <t>No</t>
        </is>
      </c>
      <c r="M44" s="32">
        <f>IF(L44="Yes","A — in-place","B — vacant + laundry")</f>
        <v/>
      </c>
      <c r="N44" s="33">
        <f>IF(L44="Yes",Assumptions!$B$38,Assumptions!$B$49)</f>
        <v/>
      </c>
      <c r="O44" s="33">
        <f>IF(L44="Yes",Assumptions!$B$39,Assumptions!$B$50)</f>
        <v/>
      </c>
      <c r="P44" s="33">
        <f>G44+O44</f>
        <v/>
      </c>
    </row>
    <row r="45">
      <c r="A45" s="10" t="inlineStr">
        <is>
          <t>4009-B</t>
        </is>
      </c>
      <c r="B45" s="32" t="inlineStr">
        <is>
          <t>2/2.00</t>
        </is>
      </c>
      <c r="C45" s="10" t="inlineStr">
        <is>
          <t>Bordeaux</t>
        </is>
      </c>
      <c r="D45" s="21" t="n">
        <v>1182</v>
      </c>
      <c r="E45" s="10" t="inlineStr">
        <is>
          <t>Current</t>
        </is>
      </c>
      <c r="F45" s="32" t="inlineStr">
        <is>
          <t>Occupied</t>
        </is>
      </c>
      <c r="G45" s="33" t="n">
        <v>1260</v>
      </c>
      <c r="H45" s="33" t="n">
        <v>1249</v>
      </c>
      <c r="I45" s="33">
        <f>IF(F45="Vacant",0,H45-G45)</f>
        <v/>
      </c>
      <c r="J45" s="34" t="n">
        <v>45233</v>
      </c>
      <c r="K45" s="34" t="n">
        <v>46328</v>
      </c>
      <c r="L45" s="32" t="inlineStr">
        <is>
          <t>No</t>
        </is>
      </c>
      <c r="M45" s="32">
        <f>IF(L45="Yes","A — in-place","B — vacant + laundry")</f>
        <v/>
      </c>
      <c r="N45" s="33">
        <f>IF(L45="Yes",Assumptions!$B$38,Assumptions!$B$49)</f>
        <v/>
      </c>
      <c r="O45" s="33">
        <f>IF(L45="Yes",Assumptions!$B$39,Assumptions!$B$50)</f>
        <v/>
      </c>
      <c r="P45" s="33">
        <f>G45+O45</f>
        <v/>
      </c>
    </row>
    <row r="46">
      <c r="A46" s="10" t="inlineStr">
        <is>
          <t>4009-C</t>
        </is>
      </c>
      <c r="B46" s="32" t="inlineStr">
        <is>
          <t>2/2.00</t>
        </is>
      </c>
      <c r="C46" s="10" t="inlineStr">
        <is>
          <t>Verdun</t>
        </is>
      </c>
      <c r="D46" s="21" t="n">
        <v>1105</v>
      </c>
      <c r="E46" s="10" t="inlineStr">
        <is>
          <t>Current</t>
        </is>
      </c>
      <c r="F46" s="32" t="inlineStr">
        <is>
          <t>Occupied</t>
        </is>
      </c>
      <c r="G46" s="33" t="n">
        <v>1250</v>
      </c>
      <c r="H46" s="33" t="n">
        <v>1206</v>
      </c>
      <c r="I46" s="33">
        <f>IF(F46="Vacant",0,H46-G46)</f>
        <v/>
      </c>
      <c r="J46" s="34" t="n">
        <v>45768</v>
      </c>
      <c r="K46" s="34" t="n">
        <v>46497</v>
      </c>
      <c r="L46" s="32" t="inlineStr">
        <is>
          <t>No</t>
        </is>
      </c>
      <c r="M46" s="32">
        <f>IF(L46="Yes","A — in-place","B — vacant + laundry")</f>
        <v/>
      </c>
      <c r="N46" s="33">
        <f>IF(L46="Yes",Assumptions!$B$38,Assumptions!$B$49)</f>
        <v/>
      </c>
      <c r="O46" s="33">
        <f>IF(L46="Yes",Assumptions!$B$39,Assumptions!$B$50)</f>
        <v/>
      </c>
      <c r="P46" s="33">
        <f>G46+O46</f>
        <v/>
      </c>
    </row>
    <row r="47">
      <c r="A47" s="10" t="inlineStr">
        <is>
          <t>4009-D</t>
        </is>
      </c>
      <c r="B47" s="32" t="inlineStr">
        <is>
          <t>2/2.00</t>
        </is>
      </c>
      <c r="C47" s="10" t="inlineStr">
        <is>
          <t>Bordeaux</t>
        </is>
      </c>
      <c r="D47" s="21" t="n">
        <v>1182</v>
      </c>
      <c r="E47" s="10" t="inlineStr">
        <is>
          <t>Current</t>
        </is>
      </c>
      <c r="F47" s="32" t="inlineStr">
        <is>
          <t>Occupied</t>
        </is>
      </c>
      <c r="G47" s="33" t="n">
        <v>1260</v>
      </c>
      <c r="H47" s="33" t="n">
        <v>1257</v>
      </c>
      <c r="I47" s="33">
        <f>IF(F47="Vacant",0,H47-G47)</f>
        <v/>
      </c>
      <c r="J47" s="34" t="n">
        <v>43464</v>
      </c>
      <c r="K47" s="34" t="n">
        <v>46385</v>
      </c>
      <c r="L47" s="32" t="inlineStr">
        <is>
          <t>No</t>
        </is>
      </c>
      <c r="M47" s="32">
        <f>IF(L47="Yes","A — in-place","B — vacant + laundry")</f>
        <v/>
      </c>
      <c r="N47" s="33">
        <f>IF(L47="Yes",Assumptions!$B$38,Assumptions!$B$49)</f>
        <v/>
      </c>
      <c r="O47" s="33">
        <f>IF(L47="Yes",Assumptions!$B$39,Assumptions!$B$50)</f>
        <v/>
      </c>
      <c r="P47" s="33">
        <f>G47+O47</f>
        <v/>
      </c>
    </row>
    <row r="48">
      <c r="A48" s="10" t="inlineStr">
        <is>
          <t>4009-E</t>
        </is>
      </c>
      <c r="B48" s="32" t="inlineStr">
        <is>
          <t>2/2.00</t>
        </is>
      </c>
      <c r="C48" s="10" t="inlineStr">
        <is>
          <t>Verdun</t>
        </is>
      </c>
      <c r="D48" s="21" t="n">
        <v>1105</v>
      </c>
      <c r="E48" s="10" t="inlineStr">
        <is>
          <t>Current</t>
        </is>
      </c>
      <c r="F48" s="32" t="inlineStr">
        <is>
          <t>Occupied</t>
        </is>
      </c>
      <c r="G48" s="33" t="n">
        <v>1250</v>
      </c>
      <c r="H48" s="33" t="n">
        <v>1210</v>
      </c>
      <c r="I48" s="33">
        <f>IF(F48="Vacant",0,H48-G48)</f>
        <v/>
      </c>
      <c r="J48" s="34" t="n">
        <v>45543</v>
      </c>
      <c r="K48" s="34" t="n">
        <v>46272</v>
      </c>
      <c r="L48" s="32" t="inlineStr">
        <is>
          <t>No</t>
        </is>
      </c>
      <c r="M48" s="32">
        <f>IF(L48="Yes","A — in-place","B — vacant + laundry")</f>
        <v/>
      </c>
      <c r="N48" s="33">
        <f>IF(L48="Yes",Assumptions!$B$38,Assumptions!$B$49)</f>
        <v/>
      </c>
      <c r="O48" s="33">
        <f>IF(L48="Yes",Assumptions!$B$39,Assumptions!$B$50)</f>
        <v/>
      </c>
      <c r="P48" s="33">
        <f>G48+O48</f>
        <v/>
      </c>
    </row>
    <row r="49">
      <c r="A49" s="10" t="inlineStr">
        <is>
          <t>4009-F</t>
        </is>
      </c>
      <c r="B49" s="32" t="inlineStr">
        <is>
          <t>2/2.00</t>
        </is>
      </c>
      <c r="C49" s="10" t="inlineStr">
        <is>
          <t>Bordeaux</t>
        </is>
      </c>
      <c r="D49" s="21" t="n">
        <v>1182</v>
      </c>
      <c r="E49" s="10" t="inlineStr">
        <is>
          <t>Current</t>
        </is>
      </c>
      <c r="F49" s="32" t="inlineStr">
        <is>
          <t>Occupied</t>
        </is>
      </c>
      <c r="G49" s="33" t="n">
        <v>1260</v>
      </c>
      <c r="H49" s="33" t="n">
        <v>1257</v>
      </c>
      <c r="I49" s="33">
        <f>IF(F49="Vacant",0,H49-G49)</f>
        <v/>
      </c>
      <c r="J49" s="34" t="n">
        <v>45443</v>
      </c>
      <c r="K49" s="34" t="n">
        <v>46202</v>
      </c>
      <c r="L49" s="32" t="inlineStr">
        <is>
          <t>No</t>
        </is>
      </c>
      <c r="M49" s="32">
        <f>IF(L49="Yes","A — in-place","B — vacant + laundry")</f>
        <v/>
      </c>
      <c r="N49" s="33">
        <f>IF(L49="Yes",Assumptions!$B$38,Assumptions!$B$49)</f>
        <v/>
      </c>
      <c r="O49" s="33">
        <f>IF(L49="Yes",Assumptions!$B$39,Assumptions!$B$50)</f>
        <v/>
      </c>
      <c r="P49" s="33">
        <f>G49+O49</f>
        <v/>
      </c>
    </row>
    <row r="50">
      <c r="A50" s="10" t="inlineStr">
        <is>
          <t>4010-C</t>
        </is>
      </c>
      <c r="B50" s="32" t="inlineStr">
        <is>
          <t>2/2.00</t>
        </is>
      </c>
      <c r="C50" s="10" t="inlineStr">
        <is>
          <t>Bordeaux</t>
        </is>
      </c>
      <c r="D50" s="21" t="n">
        <v>1182</v>
      </c>
      <c r="E50" s="10" t="inlineStr">
        <is>
          <t>Current</t>
        </is>
      </c>
      <c r="F50" s="32" t="inlineStr">
        <is>
          <t>Occupied</t>
        </is>
      </c>
      <c r="G50" s="33" t="n">
        <v>1260</v>
      </c>
      <c r="H50" s="33" t="n">
        <v>1229</v>
      </c>
      <c r="I50" s="33">
        <f>IF(F50="Vacant",0,H50-G50)</f>
        <v/>
      </c>
      <c r="J50" s="34" t="n">
        <v>45507</v>
      </c>
      <c r="K50" s="34" t="n">
        <v>46236</v>
      </c>
      <c r="L50" s="32" t="inlineStr">
        <is>
          <t>No</t>
        </is>
      </c>
      <c r="M50" s="32">
        <f>IF(L50="Yes","A — in-place","B — vacant + laundry")</f>
        <v/>
      </c>
      <c r="N50" s="33">
        <f>IF(L50="Yes",Assumptions!$B$38,Assumptions!$B$49)</f>
        <v/>
      </c>
      <c r="O50" s="33">
        <f>IF(L50="Yes",Assumptions!$B$39,Assumptions!$B$50)</f>
        <v/>
      </c>
      <c r="P50" s="33">
        <f>G50+O50</f>
        <v/>
      </c>
    </row>
    <row r="51">
      <c r="A51" s="10" t="inlineStr">
        <is>
          <t>4010-D</t>
        </is>
      </c>
      <c r="B51" s="32" t="inlineStr">
        <is>
          <t>2/2.00</t>
        </is>
      </c>
      <c r="C51" s="10" t="inlineStr">
        <is>
          <t>Verdun</t>
        </is>
      </c>
      <c r="D51" s="21" t="n">
        <v>1105</v>
      </c>
      <c r="E51" s="10" t="inlineStr">
        <is>
          <t>Current</t>
        </is>
      </c>
      <c r="F51" s="32" t="inlineStr">
        <is>
          <t>Occupied</t>
        </is>
      </c>
      <c r="G51" s="33" t="n">
        <v>1250</v>
      </c>
      <c r="H51" s="33" t="n">
        <v>1206</v>
      </c>
      <c r="I51" s="33">
        <f>IF(F51="Vacant",0,H51-G51)</f>
        <v/>
      </c>
      <c r="J51" s="34" t="n">
        <v>45460</v>
      </c>
      <c r="K51" s="34" t="n">
        <v>46189</v>
      </c>
      <c r="L51" s="32" t="inlineStr">
        <is>
          <t>No</t>
        </is>
      </c>
      <c r="M51" s="32">
        <f>IF(L51="Yes","A — in-place","B — vacant + laundry")</f>
        <v/>
      </c>
      <c r="N51" s="33">
        <f>IF(L51="Yes",Assumptions!$B$38,Assumptions!$B$49)</f>
        <v/>
      </c>
      <c r="O51" s="33">
        <f>IF(L51="Yes",Assumptions!$B$39,Assumptions!$B$50)</f>
        <v/>
      </c>
      <c r="P51" s="33">
        <f>G51+O51</f>
        <v/>
      </c>
    </row>
    <row r="52">
      <c r="A52" s="10" t="inlineStr">
        <is>
          <t>4010-E</t>
        </is>
      </c>
      <c r="B52" s="32" t="inlineStr">
        <is>
          <t>2/2.00</t>
        </is>
      </c>
      <c r="C52" s="10" t="inlineStr">
        <is>
          <t>Bordeaux</t>
        </is>
      </c>
      <c r="D52" s="21" t="n">
        <v>1182</v>
      </c>
      <c r="E52" s="10" t="inlineStr">
        <is>
          <t>Current</t>
        </is>
      </c>
      <c r="F52" s="32" t="inlineStr">
        <is>
          <t>Occupied</t>
        </is>
      </c>
      <c r="G52" s="33" t="n">
        <v>1260</v>
      </c>
      <c r="H52" s="33" t="n">
        <v>1257</v>
      </c>
      <c r="I52" s="33">
        <f>IF(F52="Vacant",0,H52-G52)</f>
        <v/>
      </c>
      <c r="J52" s="34" t="n">
        <v>44918</v>
      </c>
      <c r="K52" s="34" t="n">
        <v>46370</v>
      </c>
      <c r="L52" s="32" t="inlineStr">
        <is>
          <t>No</t>
        </is>
      </c>
      <c r="M52" s="32">
        <f>IF(L52="Yes","A — in-place","B — vacant + laundry")</f>
        <v/>
      </c>
      <c r="N52" s="33">
        <f>IF(L52="Yes",Assumptions!$B$38,Assumptions!$B$49)</f>
        <v/>
      </c>
      <c r="O52" s="33">
        <f>IF(L52="Yes",Assumptions!$B$39,Assumptions!$B$50)</f>
        <v/>
      </c>
      <c r="P52" s="33">
        <f>G52+O52</f>
        <v/>
      </c>
    </row>
    <row r="53">
      <c r="A53" s="10" t="inlineStr">
        <is>
          <t>4010-F</t>
        </is>
      </c>
      <c r="B53" s="32" t="inlineStr">
        <is>
          <t>2/2.00</t>
        </is>
      </c>
      <c r="C53" s="10" t="inlineStr">
        <is>
          <t>Verdun</t>
        </is>
      </c>
      <c r="D53" s="21" t="n">
        <v>1105</v>
      </c>
      <c r="E53" s="10" t="inlineStr">
        <is>
          <t>Current</t>
        </is>
      </c>
      <c r="F53" s="32" t="inlineStr">
        <is>
          <t>Occupied</t>
        </is>
      </c>
      <c r="G53" s="33" t="n">
        <v>1250</v>
      </c>
      <c r="H53" s="33" t="n">
        <v>1206</v>
      </c>
      <c r="I53" s="33">
        <f>IF(F53="Vacant",0,H53-G53)</f>
        <v/>
      </c>
      <c r="J53" s="34" t="n">
        <v>45108</v>
      </c>
      <c r="K53" s="34" t="n">
        <v>46203</v>
      </c>
      <c r="L53" s="32" t="inlineStr">
        <is>
          <t>No</t>
        </is>
      </c>
      <c r="M53" s="32">
        <f>IF(L53="Yes","A — in-place","B — vacant + laundry")</f>
        <v/>
      </c>
      <c r="N53" s="33">
        <f>IF(L53="Yes",Assumptions!$B$38,Assumptions!$B$49)</f>
        <v/>
      </c>
      <c r="O53" s="33">
        <f>IF(L53="Yes",Assumptions!$B$39,Assumptions!$B$50)</f>
        <v/>
      </c>
      <c r="P53" s="33">
        <f>G53+O53</f>
        <v/>
      </c>
    </row>
    <row r="54">
      <c r="A54" s="10" t="inlineStr">
        <is>
          <t>4013-C</t>
        </is>
      </c>
      <c r="B54" s="32" t="inlineStr">
        <is>
          <t>2/2.00</t>
        </is>
      </c>
      <c r="C54" s="10" t="inlineStr">
        <is>
          <t>Bordeaux</t>
        </is>
      </c>
      <c r="D54" s="21" t="n">
        <v>1182</v>
      </c>
      <c r="E54" s="10" t="inlineStr">
        <is>
          <t>Current</t>
        </is>
      </c>
      <c r="F54" s="32" t="inlineStr">
        <is>
          <t>Occupied</t>
        </is>
      </c>
      <c r="G54" s="33" t="n">
        <v>1260</v>
      </c>
      <c r="H54" s="33" t="n">
        <v>1257</v>
      </c>
      <c r="I54" s="33">
        <f>IF(F54="Vacant",0,H54-G54)</f>
        <v/>
      </c>
      <c r="J54" s="34" t="n">
        <v>44910</v>
      </c>
      <c r="K54" s="34" t="n">
        <v>46370</v>
      </c>
      <c r="L54" s="32" t="inlineStr">
        <is>
          <t>No</t>
        </is>
      </c>
      <c r="M54" s="32">
        <f>IF(L54="Yes","A — in-place","B — vacant + laundry")</f>
        <v/>
      </c>
      <c r="N54" s="33">
        <f>IF(L54="Yes",Assumptions!$B$38,Assumptions!$B$49)</f>
        <v/>
      </c>
      <c r="O54" s="33">
        <f>IF(L54="Yes",Assumptions!$B$39,Assumptions!$B$50)</f>
        <v/>
      </c>
      <c r="P54" s="33">
        <f>G54+O54</f>
        <v/>
      </c>
    </row>
    <row r="55">
      <c r="A55" s="10" t="inlineStr">
        <is>
          <t>4013-F</t>
        </is>
      </c>
      <c r="B55" s="32" t="inlineStr">
        <is>
          <t>2/2.00</t>
        </is>
      </c>
      <c r="C55" s="10" t="inlineStr">
        <is>
          <t>Verdun</t>
        </is>
      </c>
      <c r="D55" s="21" t="n">
        <v>1105</v>
      </c>
      <c r="E55" s="10" t="inlineStr">
        <is>
          <t>Current</t>
        </is>
      </c>
      <c r="F55" s="32" t="inlineStr">
        <is>
          <t>Occupied</t>
        </is>
      </c>
      <c r="G55" s="33" t="n">
        <v>1250</v>
      </c>
      <c r="H55" s="33" t="n">
        <v>1212</v>
      </c>
      <c r="I55" s="33">
        <f>IF(F55="Vacant",0,H55-G55)</f>
        <v/>
      </c>
      <c r="J55" s="34" t="n">
        <v>46081</v>
      </c>
      <c r="K55" s="34" t="n">
        <v>46473</v>
      </c>
      <c r="L55" s="32" t="inlineStr">
        <is>
          <t>No</t>
        </is>
      </c>
      <c r="M55" s="32">
        <f>IF(L55="Yes","A — in-place","B — vacant + laundry")</f>
        <v/>
      </c>
      <c r="N55" s="33">
        <f>IF(L55="Yes",Assumptions!$B$38,Assumptions!$B$49)</f>
        <v/>
      </c>
      <c r="O55" s="33">
        <f>IF(L55="Yes",Assumptions!$B$39,Assumptions!$B$50)</f>
        <v/>
      </c>
      <c r="P55" s="33">
        <f>G55+O55</f>
        <v/>
      </c>
    </row>
    <row r="56">
      <c r="A56" s="10" t="inlineStr">
        <is>
          <t>4014-A</t>
        </is>
      </c>
      <c r="B56" s="32" t="inlineStr">
        <is>
          <t>2/2.00</t>
        </is>
      </c>
      <c r="C56" s="10" t="inlineStr">
        <is>
          <t>Verdun</t>
        </is>
      </c>
      <c r="D56" s="21" t="n">
        <v>1105</v>
      </c>
      <c r="E56" s="10" t="inlineStr">
        <is>
          <t>Current</t>
        </is>
      </c>
      <c r="F56" s="32" t="inlineStr">
        <is>
          <t>Occupied</t>
        </is>
      </c>
      <c r="G56" s="33" t="n">
        <v>1250</v>
      </c>
      <c r="H56" s="33" t="n">
        <v>1169</v>
      </c>
      <c r="I56" s="33">
        <f>IF(F56="Vacant",0,H56-G56)</f>
        <v/>
      </c>
      <c r="J56" s="34" t="n">
        <v>44413</v>
      </c>
      <c r="K56" s="34" t="n">
        <v>46238</v>
      </c>
      <c r="L56" s="32" t="inlineStr">
        <is>
          <t>No</t>
        </is>
      </c>
      <c r="M56" s="32">
        <f>IF(L56="Yes","A — in-place","B — vacant + laundry")</f>
        <v/>
      </c>
      <c r="N56" s="33">
        <f>IF(L56="Yes",Assumptions!$B$38,Assumptions!$B$49)</f>
        <v/>
      </c>
      <c r="O56" s="33">
        <f>IF(L56="Yes",Assumptions!$B$39,Assumptions!$B$50)</f>
        <v/>
      </c>
      <c r="P56" s="33">
        <f>G56+O56</f>
        <v/>
      </c>
    </row>
    <row r="57">
      <c r="A57" s="10" t="inlineStr">
        <is>
          <t>4014-B</t>
        </is>
      </c>
      <c r="B57" s="32" t="inlineStr">
        <is>
          <t>2/2.00</t>
        </is>
      </c>
      <c r="C57" s="10" t="inlineStr">
        <is>
          <t>Bordeaux</t>
        </is>
      </c>
      <c r="D57" s="21" t="n">
        <v>1182</v>
      </c>
      <c r="E57" s="10" t="inlineStr">
        <is>
          <t>Current</t>
        </is>
      </c>
      <c r="F57" s="32" t="inlineStr">
        <is>
          <t>Occupied</t>
        </is>
      </c>
      <c r="G57" s="33" t="n">
        <v>1260</v>
      </c>
      <c r="H57" s="33" t="n">
        <v>1257</v>
      </c>
      <c r="I57" s="33">
        <f>IF(F57="Vacant",0,H57-G57)</f>
        <v/>
      </c>
      <c r="J57" s="34" t="n">
        <v>46142</v>
      </c>
      <c r="K57" s="34" t="n">
        <v>46536</v>
      </c>
      <c r="L57" s="32" t="inlineStr">
        <is>
          <t>No</t>
        </is>
      </c>
      <c r="M57" s="32">
        <f>IF(L57="Yes","A — in-place","B — vacant + laundry")</f>
        <v/>
      </c>
      <c r="N57" s="33">
        <f>IF(L57="Yes",Assumptions!$B$38,Assumptions!$B$49)</f>
        <v/>
      </c>
      <c r="O57" s="33">
        <f>IF(L57="Yes",Assumptions!$B$39,Assumptions!$B$50)</f>
        <v/>
      </c>
      <c r="P57" s="33">
        <f>G57+O57</f>
        <v/>
      </c>
    </row>
    <row r="58">
      <c r="A58" s="10" t="inlineStr">
        <is>
          <t>4014-C</t>
        </is>
      </c>
      <c r="B58" s="32" t="inlineStr">
        <is>
          <t>2/2.00</t>
        </is>
      </c>
      <c r="C58" s="10" t="inlineStr">
        <is>
          <t>Verdun</t>
        </is>
      </c>
      <c r="D58" s="21" t="n">
        <v>1105</v>
      </c>
      <c r="E58" s="10" t="inlineStr">
        <is>
          <t>Current</t>
        </is>
      </c>
      <c r="F58" s="32" t="inlineStr">
        <is>
          <t>Occupied</t>
        </is>
      </c>
      <c r="G58" s="33" t="n">
        <v>1250</v>
      </c>
      <c r="H58" s="33" t="n">
        <v>1212</v>
      </c>
      <c r="I58" s="33">
        <f>IF(F58="Vacant",0,H58-G58)</f>
        <v/>
      </c>
      <c r="J58" s="34" t="n">
        <v>43040</v>
      </c>
      <c r="K58" s="34" t="n">
        <v>46326</v>
      </c>
      <c r="L58" s="32" t="inlineStr">
        <is>
          <t>No</t>
        </is>
      </c>
      <c r="M58" s="32">
        <f>IF(L58="Yes","A — in-place","B — vacant + laundry")</f>
        <v/>
      </c>
      <c r="N58" s="33">
        <f>IF(L58="Yes",Assumptions!$B$38,Assumptions!$B$49)</f>
        <v/>
      </c>
      <c r="O58" s="33">
        <f>IF(L58="Yes",Assumptions!$B$39,Assumptions!$B$50)</f>
        <v/>
      </c>
      <c r="P58" s="33">
        <f>G58+O58</f>
        <v/>
      </c>
    </row>
    <row r="59">
      <c r="A59" s="10" t="inlineStr">
        <is>
          <t>4014-D</t>
        </is>
      </c>
      <c r="B59" s="32" t="inlineStr">
        <is>
          <t>2/2.00</t>
        </is>
      </c>
      <c r="C59" s="10" t="inlineStr">
        <is>
          <t>Bordeaux</t>
        </is>
      </c>
      <c r="D59" s="21" t="n">
        <v>1182</v>
      </c>
      <c r="E59" s="10" t="inlineStr">
        <is>
          <t>Current</t>
        </is>
      </c>
      <c r="F59" s="32" t="inlineStr">
        <is>
          <t>Occupied</t>
        </is>
      </c>
      <c r="G59" s="33" t="n">
        <v>1260</v>
      </c>
      <c r="H59" s="33" t="n">
        <v>1257</v>
      </c>
      <c r="I59" s="33">
        <f>IF(F59="Vacant",0,H59-G59)</f>
        <v/>
      </c>
      <c r="J59" s="34" t="n">
        <v>45682</v>
      </c>
      <c r="K59" s="34" t="n">
        <v>46411</v>
      </c>
      <c r="L59" s="32" t="inlineStr">
        <is>
          <t>No</t>
        </is>
      </c>
      <c r="M59" s="32">
        <f>IF(L59="Yes","A — in-place","B — vacant + laundry")</f>
        <v/>
      </c>
      <c r="N59" s="33">
        <f>IF(L59="Yes",Assumptions!$B$38,Assumptions!$B$49)</f>
        <v/>
      </c>
      <c r="O59" s="33">
        <f>IF(L59="Yes",Assumptions!$B$39,Assumptions!$B$50)</f>
        <v/>
      </c>
      <c r="P59" s="33">
        <f>G59+O59</f>
        <v/>
      </c>
    </row>
    <row r="60">
      <c r="A60" s="10" t="inlineStr">
        <is>
          <t>4014-E</t>
        </is>
      </c>
      <c r="B60" s="32" t="inlineStr">
        <is>
          <t>2/2.00</t>
        </is>
      </c>
      <c r="C60" s="10" t="inlineStr">
        <is>
          <t>Verdun</t>
        </is>
      </c>
      <c r="D60" s="21" t="n">
        <v>1105</v>
      </c>
      <c r="E60" s="10" t="inlineStr">
        <is>
          <t>Current</t>
        </is>
      </c>
      <c r="F60" s="32" t="inlineStr">
        <is>
          <t>Occupied</t>
        </is>
      </c>
      <c r="G60" s="33" t="n">
        <v>1250</v>
      </c>
      <c r="H60" s="33" t="n">
        <v>1212</v>
      </c>
      <c r="I60" s="33">
        <f>IF(F60="Vacant",0,H60-G60)</f>
        <v/>
      </c>
      <c r="J60" s="34" t="n">
        <v>45633</v>
      </c>
      <c r="K60" s="34" t="n">
        <v>46393</v>
      </c>
      <c r="L60" s="32" t="inlineStr">
        <is>
          <t>No</t>
        </is>
      </c>
      <c r="M60" s="32">
        <f>IF(L60="Yes","A — in-place","B — vacant + laundry")</f>
        <v/>
      </c>
      <c r="N60" s="33">
        <f>IF(L60="Yes",Assumptions!$B$38,Assumptions!$B$49)</f>
        <v/>
      </c>
      <c r="O60" s="33">
        <f>IF(L60="Yes",Assumptions!$B$39,Assumptions!$B$50)</f>
        <v/>
      </c>
      <c r="P60" s="33">
        <f>G60+O60</f>
        <v/>
      </c>
    </row>
    <row r="61">
      <c r="A61" s="10" t="inlineStr">
        <is>
          <t>4014-F</t>
        </is>
      </c>
      <c r="B61" s="32" t="inlineStr">
        <is>
          <t>2/2.00</t>
        </is>
      </c>
      <c r="C61" s="10" t="inlineStr">
        <is>
          <t>Bordeaux</t>
        </is>
      </c>
      <c r="D61" s="21" t="n">
        <v>1182</v>
      </c>
      <c r="E61" s="10" t="inlineStr">
        <is>
          <t>Current</t>
        </is>
      </c>
      <c r="F61" s="32" t="inlineStr">
        <is>
          <t>Occupied</t>
        </is>
      </c>
      <c r="G61" s="33" t="n">
        <v>1260</v>
      </c>
      <c r="H61" s="33" t="n">
        <v>1257</v>
      </c>
      <c r="I61" s="33">
        <f>IF(F61="Vacant",0,H61-G61)</f>
        <v/>
      </c>
      <c r="J61" s="34" t="n">
        <v>41727</v>
      </c>
      <c r="K61" s="34" t="n">
        <v>46324</v>
      </c>
      <c r="L61" s="32" t="inlineStr">
        <is>
          <t>No</t>
        </is>
      </c>
      <c r="M61" s="32">
        <f>IF(L61="Yes","A — in-place","B — vacant + laundry")</f>
        <v/>
      </c>
      <c r="N61" s="33">
        <f>IF(L61="Yes",Assumptions!$B$38,Assumptions!$B$49)</f>
        <v/>
      </c>
      <c r="O61" s="33">
        <f>IF(L61="Yes",Assumptions!$B$39,Assumptions!$B$50)</f>
        <v/>
      </c>
      <c r="P61" s="33">
        <f>G61+O61</f>
        <v/>
      </c>
    </row>
    <row r="62">
      <c r="A62" s="10" t="inlineStr">
        <is>
          <t>4017-A</t>
        </is>
      </c>
      <c r="B62" s="32" t="inlineStr">
        <is>
          <t>2/2.00</t>
        </is>
      </c>
      <c r="C62" s="10" t="inlineStr">
        <is>
          <t>Verdun</t>
        </is>
      </c>
      <c r="D62" s="21" t="n">
        <v>1105</v>
      </c>
      <c r="E62" s="10" t="inlineStr">
        <is>
          <t>Current</t>
        </is>
      </c>
      <c r="F62" s="32" t="inlineStr">
        <is>
          <t>Occupied</t>
        </is>
      </c>
      <c r="G62" s="33" t="n">
        <v>1250</v>
      </c>
      <c r="H62" s="33" t="n">
        <v>1212</v>
      </c>
      <c r="I62" s="33">
        <f>IF(F62="Vacant",0,H62-G62)</f>
        <v/>
      </c>
      <c r="J62" s="34" t="n">
        <v>45668</v>
      </c>
      <c r="K62" s="34" t="n">
        <v>46275</v>
      </c>
      <c r="L62" s="32" t="inlineStr">
        <is>
          <t>No</t>
        </is>
      </c>
      <c r="M62" s="32">
        <f>IF(L62="Yes","A — in-place","B — vacant + laundry")</f>
        <v/>
      </c>
      <c r="N62" s="33">
        <f>IF(L62="Yes",Assumptions!$B$38,Assumptions!$B$49)</f>
        <v/>
      </c>
      <c r="O62" s="33">
        <f>IF(L62="Yes",Assumptions!$B$39,Assumptions!$B$50)</f>
        <v/>
      </c>
      <c r="P62" s="33">
        <f>G62+O62</f>
        <v/>
      </c>
    </row>
    <row r="63">
      <c r="A63" s="10" t="inlineStr">
        <is>
          <t>4017-B</t>
        </is>
      </c>
      <c r="B63" s="32" t="inlineStr">
        <is>
          <t>2/2.00</t>
        </is>
      </c>
      <c r="C63" s="10" t="inlineStr">
        <is>
          <t>Bordeaux</t>
        </is>
      </c>
      <c r="D63" s="21" t="n">
        <v>1182</v>
      </c>
      <c r="E63" s="10" t="inlineStr">
        <is>
          <t>Current</t>
        </is>
      </c>
      <c r="F63" s="32" t="inlineStr">
        <is>
          <t>Occupied</t>
        </is>
      </c>
      <c r="G63" s="33" t="n">
        <v>1260</v>
      </c>
      <c r="H63" s="33" t="n">
        <v>1214</v>
      </c>
      <c r="I63" s="33">
        <f>IF(F63="Vacant",0,H63-G63)</f>
        <v/>
      </c>
      <c r="J63" s="34" t="n">
        <v>45167</v>
      </c>
      <c r="K63" s="34" t="n">
        <v>46535</v>
      </c>
      <c r="L63" s="32" t="inlineStr">
        <is>
          <t>No</t>
        </is>
      </c>
      <c r="M63" s="32">
        <f>IF(L63="Yes","A — in-place","B — vacant + laundry")</f>
        <v/>
      </c>
      <c r="N63" s="33">
        <f>IF(L63="Yes",Assumptions!$B$38,Assumptions!$B$49)</f>
        <v/>
      </c>
      <c r="O63" s="33">
        <f>IF(L63="Yes",Assumptions!$B$39,Assumptions!$B$50)</f>
        <v/>
      </c>
      <c r="P63" s="33">
        <f>G63+O63</f>
        <v/>
      </c>
    </row>
    <row r="64">
      <c r="A64" s="10" t="inlineStr">
        <is>
          <t>4017-E</t>
        </is>
      </c>
      <c r="B64" s="32" t="inlineStr">
        <is>
          <t>2/2.00</t>
        </is>
      </c>
      <c r="C64" s="10" t="inlineStr">
        <is>
          <t>Verdun</t>
        </is>
      </c>
      <c r="D64" s="21" t="n">
        <v>1105</v>
      </c>
      <c r="E64" s="10" t="inlineStr">
        <is>
          <t>Current</t>
        </is>
      </c>
      <c r="F64" s="32" t="inlineStr">
        <is>
          <t>Occupied</t>
        </is>
      </c>
      <c r="G64" s="33" t="n">
        <v>1250</v>
      </c>
      <c r="H64" s="33" t="n">
        <v>1212</v>
      </c>
      <c r="I64" s="33">
        <f>IF(F64="Vacant",0,H64-G64)</f>
        <v/>
      </c>
      <c r="J64" s="34" t="n">
        <v>45366</v>
      </c>
      <c r="K64" s="34" t="n"/>
      <c r="L64" s="32" t="inlineStr">
        <is>
          <t>No</t>
        </is>
      </c>
      <c r="M64" s="32">
        <f>IF(L64="Yes","A — in-place","B — vacant + laundry")</f>
        <v/>
      </c>
      <c r="N64" s="33">
        <f>IF(L64="Yes",Assumptions!$B$38,Assumptions!$B$49)</f>
        <v/>
      </c>
      <c r="O64" s="33">
        <f>IF(L64="Yes",Assumptions!$B$39,Assumptions!$B$50)</f>
        <v/>
      </c>
      <c r="P64" s="33">
        <f>G64+O64</f>
        <v/>
      </c>
    </row>
    <row r="65">
      <c r="A65" s="10" t="inlineStr">
        <is>
          <t>4017-F</t>
        </is>
      </c>
      <c r="B65" s="32" t="inlineStr">
        <is>
          <t>2/2.00</t>
        </is>
      </c>
      <c r="C65" s="10" t="inlineStr">
        <is>
          <t>Bordeaux</t>
        </is>
      </c>
      <c r="D65" s="21" t="n">
        <v>1182</v>
      </c>
      <c r="E65" s="10" t="inlineStr">
        <is>
          <t>Current</t>
        </is>
      </c>
      <c r="F65" s="32" t="inlineStr">
        <is>
          <t>Occupied</t>
        </is>
      </c>
      <c r="G65" s="33" t="n">
        <v>1260</v>
      </c>
      <c r="H65" s="33" t="n">
        <v>1257</v>
      </c>
      <c r="I65" s="33">
        <f>IF(F65="Vacant",0,H65-G65)</f>
        <v/>
      </c>
      <c r="J65" s="34" t="n">
        <v>46099</v>
      </c>
      <c r="K65" s="34" t="n">
        <v>46463</v>
      </c>
      <c r="L65" s="32" t="inlineStr">
        <is>
          <t>No</t>
        </is>
      </c>
      <c r="M65" s="32">
        <f>IF(L65="Yes","A — in-place","B — vacant + laundry")</f>
        <v/>
      </c>
      <c r="N65" s="33">
        <f>IF(L65="Yes",Assumptions!$B$38,Assumptions!$B$49)</f>
        <v/>
      </c>
      <c r="O65" s="33">
        <f>IF(L65="Yes",Assumptions!$B$39,Assumptions!$B$50)</f>
        <v/>
      </c>
      <c r="P65" s="33">
        <f>G65+O65</f>
        <v/>
      </c>
    </row>
    <row r="66">
      <c r="A66" s="10" t="inlineStr">
        <is>
          <t>4021-C</t>
        </is>
      </c>
      <c r="B66" s="32" t="inlineStr">
        <is>
          <t>2/2.00</t>
        </is>
      </c>
      <c r="C66" s="10" t="inlineStr">
        <is>
          <t>Bordeaux</t>
        </is>
      </c>
      <c r="D66" s="21" t="n">
        <v>1182</v>
      </c>
      <c r="E66" s="10" t="inlineStr">
        <is>
          <t>Current</t>
        </is>
      </c>
      <c r="F66" s="32" t="inlineStr">
        <is>
          <t>Occupied</t>
        </is>
      </c>
      <c r="G66" s="33" t="n">
        <v>1260</v>
      </c>
      <c r="H66" s="33" t="n">
        <v>1257</v>
      </c>
      <c r="I66" s="33">
        <f>IF(F66="Vacant",0,H66-G66)</f>
        <v/>
      </c>
      <c r="J66" s="34" t="n">
        <v>45203</v>
      </c>
      <c r="K66" s="34" t="n">
        <v>46298</v>
      </c>
      <c r="L66" s="32" t="inlineStr">
        <is>
          <t>No</t>
        </is>
      </c>
      <c r="M66" s="32">
        <f>IF(L66="Yes","A — in-place","B — vacant + laundry")</f>
        <v/>
      </c>
      <c r="N66" s="33">
        <f>IF(L66="Yes",Assumptions!$B$38,Assumptions!$B$49)</f>
        <v/>
      </c>
      <c r="O66" s="33">
        <f>IF(L66="Yes",Assumptions!$B$39,Assumptions!$B$50)</f>
        <v/>
      </c>
      <c r="P66" s="33">
        <f>G66+O66</f>
        <v/>
      </c>
    </row>
    <row r="67">
      <c r="A67" s="10" t="inlineStr">
        <is>
          <t>4021-D</t>
        </is>
      </c>
      <c r="B67" s="32" t="inlineStr">
        <is>
          <t>2/2.00</t>
        </is>
      </c>
      <c r="C67" s="10" t="inlineStr">
        <is>
          <t>Verdun</t>
        </is>
      </c>
      <c r="D67" s="21" t="n">
        <v>1105</v>
      </c>
      <c r="E67" s="10" t="inlineStr">
        <is>
          <t>Current</t>
        </is>
      </c>
      <c r="F67" s="32" t="inlineStr">
        <is>
          <t>Occupied</t>
        </is>
      </c>
      <c r="G67" s="33" t="n">
        <v>1250</v>
      </c>
      <c r="H67" s="33" t="n">
        <v>1212</v>
      </c>
      <c r="I67" s="33">
        <f>IF(F67="Vacant",0,H67-G67)</f>
        <v/>
      </c>
      <c r="J67" s="34" t="n">
        <v>46203</v>
      </c>
      <c r="K67" s="34" t="n">
        <v>46597</v>
      </c>
      <c r="L67" s="32" t="inlineStr">
        <is>
          <t>No</t>
        </is>
      </c>
      <c r="M67" s="32">
        <f>IF(L67="Yes","A — in-place","B — vacant + laundry")</f>
        <v/>
      </c>
      <c r="N67" s="33">
        <f>IF(L67="Yes",Assumptions!$B$38,Assumptions!$B$49)</f>
        <v/>
      </c>
      <c r="O67" s="33">
        <f>IF(L67="Yes",Assumptions!$B$39,Assumptions!$B$50)</f>
        <v/>
      </c>
      <c r="P67" s="33">
        <f>G67+O67</f>
        <v/>
      </c>
    </row>
    <row r="68">
      <c r="A68" s="10" t="inlineStr">
        <is>
          <t>4021-E</t>
        </is>
      </c>
      <c r="B68" s="32" t="inlineStr">
        <is>
          <t>2/2.00</t>
        </is>
      </c>
      <c r="C68" s="10" t="inlineStr">
        <is>
          <t>Bordeaux</t>
        </is>
      </c>
      <c r="D68" s="21" t="n">
        <v>1182</v>
      </c>
      <c r="E68" s="10" t="inlineStr">
        <is>
          <t>Current</t>
        </is>
      </c>
      <c r="F68" s="32" t="inlineStr">
        <is>
          <t>Occupied</t>
        </is>
      </c>
      <c r="G68" s="33" t="n">
        <v>1260</v>
      </c>
      <c r="H68" s="33" t="n">
        <v>1257</v>
      </c>
      <c r="I68" s="33">
        <f>IF(F68="Vacant",0,H68-G68)</f>
        <v/>
      </c>
      <c r="J68" s="34" t="n">
        <v>45815</v>
      </c>
      <c r="K68" s="34" t="n">
        <v>46544</v>
      </c>
      <c r="L68" s="32" t="inlineStr">
        <is>
          <t>No</t>
        </is>
      </c>
      <c r="M68" s="32">
        <f>IF(L68="Yes","A — in-place","B — vacant + laundry")</f>
        <v/>
      </c>
      <c r="N68" s="33">
        <f>IF(L68="Yes",Assumptions!$B$38,Assumptions!$B$49)</f>
        <v/>
      </c>
      <c r="O68" s="33">
        <f>IF(L68="Yes",Assumptions!$B$39,Assumptions!$B$50)</f>
        <v/>
      </c>
      <c r="P68" s="33">
        <f>G68+O68</f>
        <v/>
      </c>
    </row>
    <row r="69">
      <c r="A69" s="10" t="inlineStr">
        <is>
          <t>4021-F</t>
        </is>
      </c>
      <c r="B69" s="32" t="inlineStr">
        <is>
          <t>2/2.00</t>
        </is>
      </c>
      <c r="C69" s="10" t="inlineStr">
        <is>
          <t>Verdun</t>
        </is>
      </c>
      <c r="D69" s="21" t="n">
        <v>1105</v>
      </c>
      <c r="E69" s="10" t="inlineStr">
        <is>
          <t>Current</t>
        </is>
      </c>
      <c r="F69" s="32" t="inlineStr">
        <is>
          <t>Occupied</t>
        </is>
      </c>
      <c r="G69" s="33" t="n">
        <v>1250</v>
      </c>
      <c r="H69" s="33" t="n">
        <v>1212</v>
      </c>
      <c r="I69" s="33">
        <f>IF(F69="Vacant",0,H69-G69)</f>
        <v/>
      </c>
      <c r="J69" s="34" t="n">
        <v>45801</v>
      </c>
      <c r="K69" s="34" t="n">
        <v>46530</v>
      </c>
      <c r="L69" s="32" t="inlineStr">
        <is>
          <t>No</t>
        </is>
      </c>
      <c r="M69" s="32">
        <f>IF(L69="Yes","A — in-place","B — vacant + laundry")</f>
        <v/>
      </c>
      <c r="N69" s="33">
        <f>IF(L69="Yes",Assumptions!$B$38,Assumptions!$B$49)</f>
        <v/>
      </c>
      <c r="O69" s="33">
        <f>IF(L69="Yes",Assumptions!$B$39,Assumptions!$B$50)</f>
        <v/>
      </c>
      <c r="P69" s="33">
        <f>G69+O69</f>
        <v/>
      </c>
    </row>
    <row r="70">
      <c r="A70" s="10" t="inlineStr">
        <is>
          <t>4041-A</t>
        </is>
      </c>
      <c r="B70" s="32" t="inlineStr">
        <is>
          <t>2/2.00</t>
        </is>
      </c>
      <c r="C70" s="10" t="inlineStr">
        <is>
          <t>Verdun</t>
        </is>
      </c>
      <c r="D70" s="21" t="n">
        <v>1105</v>
      </c>
      <c r="E70" s="10" t="inlineStr">
        <is>
          <t>Current</t>
        </is>
      </c>
      <c r="F70" s="32" t="inlineStr">
        <is>
          <t>Occupied</t>
        </is>
      </c>
      <c r="G70" s="33" t="n">
        <v>1250</v>
      </c>
      <c r="H70" s="33" t="n">
        <v>1212</v>
      </c>
      <c r="I70" s="33">
        <f>IF(F70="Vacant",0,H70-G70)</f>
        <v/>
      </c>
      <c r="J70" s="34" t="n">
        <v>44561</v>
      </c>
      <c r="K70" s="34" t="n">
        <v>46386</v>
      </c>
      <c r="L70" s="32" t="inlineStr">
        <is>
          <t>No</t>
        </is>
      </c>
      <c r="M70" s="32">
        <f>IF(L70="Yes","A — in-place","B — vacant + laundry")</f>
        <v/>
      </c>
      <c r="N70" s="33">
        <f>IF(L70="Yes",Assumptions!$B$38,Assumptions!$B$49)</f>
        <v/>
      </c>
      <c r="O70" s="33">
        <f>IF(L70="Yes",Assumptions!$B$39,Assumptions!$B$50)</f>
        <v/>
      </c>
      <c r="P70" s="33">
        <f>G70+O70</f>
        <v/>
      </c>
    </row>
    <row r="71">
      <c r="A71" s="10" t="inlineStr">
        <is>
          <t>4041-B</t>
        </is>
      </c>
      <c r="B71" s="32" t="inlineStr">
        <is>
          <t>2/2.00</t>
        </is>
      </c>
      <c r="C71" s="10" t="inlineStr">
        <is>
          <t>Bordeaux</t>
        </is>
      </c>
      <c r="D71" s="21" t="n">
        <v>1182</v>
      </c>
      <c r="E71" s="10" t="inlineStr">
        <is>
          <t>Current</t>
        </is>
      </c>
      <c r="F71" s="32" t="inlineStr">
        <is>
          <t>Occupied</t>
        </is>
      </c>
      <c r="G71" s="33" t="n">
        <v>1260</v>
      </c>
      <c r="H71" s="33" t="n">
        <v>1257</v>
      </c>
      <c r="I71" s="33">
        <f>IF(F71="Vacant",0,H71-G71)</f>
        <v/>
      </c>
      <c r="J71" s="34" t="n">
        <v>45891</v>
      </c>
      <c r="K71" s="34" t="n">
        <v>46620</v>
      </c>
      <c r="L71" s="32" t="inlineStr">
        <is>
          <t>No</t>
        </is>
      </c>
      <c r="M71" s="32">
        <f>IF(L71="Yes","A — in-place","B — vacant + laundry")</f>
        <v/>
      </c>
      <c r="N71" s="33">
        <f>IF(L71="Yes",Assumptions!$B$38,Assumptions!$B$49)</f>
        <v/>
      </c>
      <c r="O71" s="33">
        <f>IF(L71="Yes",Assumptions!$B$39,Assumptions!$B$50)</f>
        <v/>
      </c>
      <c r="P71" s="33">
        <f>G71+O71</f>
        <v/>
      </c>
    </row>
    <row r="72">
      <c r="A72" s="10" t="inlineStr">
        <is>
          <t>4041-C</t>
        </is>
      </c>
      <c r="B72" s="32" t="inlineStr">
        <is>
          <t>2/2.00</t>
        </is>
      </c>
      <c r="C72" s="10" t="inlineStr">
        <is>
          <t>Verdun</t>
        </is>
      </c>
      <c r="D72" s="21" t="n">
        <v>1105</v>
      </c>
      <c r="E72" s="10" t="inlineStr">
        <is>
          <t>Current</t>
        </is>
      </c>
      <c r="F72" s="32" t="inlineStr">
        <is>
          <t>Occupied</t>
        </is>
      </c>
      <c r="G72" s="33" t="n">
        <v>1250</v>
      </c>
      <c r="H72" s="33" t="n">
        <v>1204</v>
      </c>
      <c r="I72" s="33">
        <f>IF(F72="Vacant",0,H72-G72)</f>
        <v/>
      </c>
      <c r="J72" s="34" t="n">
        <v>44883</v>
      </c>
      <c r="K72" s="34" t="n">
        <v>46343</v>
      </c>
      <c r="L72" s="32" t="inlineStr">
        <is>
          <t>No</t>
        </is>
      </c>
      <c r="M72" s="32">
        <f>IF(L72="Yes","A — in-place","B — vacant + laundry")</f>
        <v/>
      </c>
      <c r="N72" s="33">
        <f>IF(L72="Yes",Assumptions!$B$38,Assumptions!$B$49)</f>
        <v/>
      </c>
      <c r="O72" s="33">
        <f>IF(L72="Yes",Assumptions!$B$39,Assumptions!$B$50)</f>
        <v/>
      </c>
      <c r="P72" s="33">
        <f>G72+O72</f>
        <v/>
      </c>
    </row>
    <row r="73">
      <c r="A73" s="10" t="inlineStr">
        <is>
          <t>4041-D</t>
        </is>
      </c>
      <c r="B73" s="32" t="inlineStr">
        <is>
          <t>2/2.00</t>
        </is>
      </c>
      <c r="C73" s="10" t="inlineStr">
        <is>
          <t>Bordeaux</t>
        </is>
      </c>
      <c r="D73" s="21" t="n">
        <v>1182</v>
      </c>
      <c r="E73" s="10" t="inlineStr">
        <is>
          <t>Current</t>
        </is>
      </c>
      <c r="F73" s="32" t="inlineStr">
        <is>
          <t>Occupied</t>
        </is>
      </c>
      <c r="G73" s="33" t="n">
        <v>1260</v>
      </c>
      <c r="H73" s="33" t="n">
        <v>1242</v>
      </c>
      <c r="I73" s="33">
        <f>IF(F73="Vacant",0,H73-G73)</f>
        <v/>
      </c>
      <c r="J73" s="34" t="n">
        <v>45495</v>
      </c>
      <c r="K73" s="34" t="n">
        <v>46224</v>
      </c>
      <c r="L73" s="32" t="inlineStr">
        <is>
          <t>No</t>
        </is>
      </c>
      <c r="M73" s="32">
        <f>IF(L73="Yes","A — in-place","B — vacant + laundry")</f>
        <v/>
      </c>
      <c r="N73" s="33">
        <f>IF(L73="Yes",Assumptions!$B$38,Assumptions!$B$49)</f>
        <v/>
      </c>
      <c r="O73" s="33">
        <f>IF(L73="Yes",Assumptions!$B$39,Assumptions!$B$50)</f>
        <v/>
      </c>
      <c r="P73" s="33">
        <f>G73+O73</f>
        <v/>
      </c>
    </row>
    <row r="74">
      <c r="A74" s="10" t="inlineStr">
        <is>
          <t>4041-F</t>
        </is>
      </c>
      <c r="B74" s="32" t="inlineStr">
        <is>
          <t>2/2.00</t>
        </is>
      </c>
      <c r="C74" s="10" t="inlineStr">
        <is>
          <t>Bordeaux</t>
        </is>
      </c>
      <c r="D74" s="21" t="n">
        <v>1182</v>
      </c>
      <c r="E74" s="10" t="inlineStr">
        <is>
          <t>Current</t>
        </is>
      </c>
      <c r="F74" s="32" t="inlineStr">
        <is>
          <t>Occupied</t>
        </is>
      </c>
      <c r="G74" s="33" t="n">
        <v>1260</v>
      </c>
      <c r="H74" s="33" t="n">
        <v>1257</v>
      </c>
      <c r="I74" s="33">
        <f>IF(F74="Vacant",0,H74-G74)</f>
        <v/>
      </c>
      <c r="J74" s="34" t="n">
        <v>45278</v>
      </c>
      <c r="K74" s="34" t="n">
        <v>46373</v>
      </c>
      <c r="L74" s="32" t="inlineStr">
        <is>
          <t>No</t>
        </is>
      </c>
      <c r="M74" s="32">
        <f>IF(L74="Yes","A — in-place","B — vacant + laundry")</f>
        <v/>
      </c>
      <c r="N74" s="33">
        <f>IF(L74="Yes",Assumptions!$B$38,Assumptions!$B$49)</f>
        <v/>
      </c>
      <c r="O74" s="33">
        <f>IF(L74="Yes",Assumptions!$B$39,Assumptions!$B$50)</f>
        <v/>
      </c>
      <c r="P74" s="33">
        <f>G74+O74</f>
        <v/>
      </c>
    </row>
    <row r="75">
      <c r="A75" s="10" t="inlineStr">
        <is>
          <t>4042-C</t>
        </is>
      </c>
      <c r="B75" s="32" t="inlineStr">
        <is>
          <t>2/2.00</t>
        </is>
      </c>
      <c r="C75" s="10" t="inlineStr">
        <is>
          <t>Bordeaux</t>
        </is>
      </c>
      <c r="D75" s="21" t="n">
        <v>1182</v>
      </c>
      <c r="E75" s="10" t="inlineStr">
        <is>
          <t>Current</t>
        </is>
      </c>
      <c r="F75" s="32" t="inlineStr">
        <is>
          <t>Occupied</t>
        </is>
      </c>
      <c r="G75" s="33" t="n">
        <v>1260</v>
      </c>
      <c r="H75" s="33" t="n">
        <v>1257</v>
      </c>
      <c r="I75" s="33">
        <f>IF(F75="Vacant",0,H75-G75)</f>
        <v/>
      </c>
      <c r="J75" s="34" t="n">
        <v>45212</v>
      </c>
      <c r="K75" s="34" t="n">
        <v>46307</v>
      </c>
      <c r="L75" s="32" t="inlineStr">
        <is>
          <t>No</t>
        </is>
      </c>
      <c r="M75" s="32">
        <f>IF(L75="Yes","A — in-place","B — vacant + laundry")</f>
        <v/>
      </c>
      <c r="N75" s="33">
        <f>IF(L75="Yes",Assumptions!$B$38,Assumptions!$B$49)</f>
        <v/>
      </c>
      <c r="O75" s="33">
        <f>IF(L75="Yes",Assumptions!$B$39,Assumptions!$B$50)</f>
        <v/>
      </c>
      <c r="P75" s="33">
        <f>G75+O75</f>
        <v/>
      </c>
    </row>
    <row r="76">
      <c r="A76" s="10" t="inlineStr">
        <is>
          <t>4042-D</t>
        </is>
      </c>
      <c r="B76" s="32" t="inlineStr">
        <is>
          <t>2/2.00</t>
        </is>
      </c>
      <c r="C76" s="10" t="inlineStr">
        <is>
          <t>Verdun</t>
        </is>
      </c>
      <c r="D76" s="21" t="n">
        <v>1105</v>
      </c>
      <c r="E76" s="10" t="inlineStr">
        <is>
          <t>Current</t>
        </is>
      </c>
      <c r="F76" s="32" t="inlineStr">
        <is>
          <t>Occupied</t>
        </is>
      </c>
      <c r="G76" s="33" t="n">
        <v>1250</v>
      </c>
      <c r="H76" s="33" t="n">
        <v>1194</v>
      </c>
      <c r="I76" s="33">
        <f>IF(F76="Vacant",0,H76-G76)</f>
        <v/>
      </c>
      <c r="J76" s="34" t="n">
        <v>44999</v>
      </c>
      <c r="K76" s="34" t="n">
        <v>46459</v>
      </c>
      <c r="L76" s="32" t="inlineStr">
        <is>
          <t>No</t>
        </is>
      </c>
      <c r="M76" s="32">
        <f>IF(L76="Yes","A — in-place","B — vacant + laundry")</f>
        <v/>
      </c>
      <c r="N76" s="33">
        <f>IF(L76="Yes",Assumptions!$B$38,Assumptions!$B$49)</f>
        <v/>
      </c>
      <c r="O76" s="33">
        <f>IF(L76="Yes",Assumptions!$B$39,Assumptions!$B$50)</f>
        <v/>
      </c>
      <c r="P76" s="33">
        <f>G76+O76</f>
        <v/>
      </c>
    </row>
    <row r="77">
      <c r="A77" s="10" t="inlineStr">
        <is>
          <t>4042-E</t>
        </is>
      </c>
      <c r="B77" s="32" t="inlineStr">
        <is>
          <t>2/2.00</t>
        </is>
      </c>
      <c r="C77" s="10" t="inlineStr">
        <is>
          <t>Bordeaux</t>
        </is>
      </c>
      <c r="D77" s="21" t="n">
        <v>1182</v>
      </c>
      <c r="E77" s="10" t="inlineStr">
        <is>
          <t>Current</t>
        </is>
      </c>
      <c r="F77" s="32" t="inlineStr">
        <is>
          <t>Occupied</t>
        </is>
      </c>
      <c r="G77" s="33" t="n">
        <v>1260</v>
      </c>
      <c r="H77" s="33" t="n">
        <v>1252</v>
      </c>
      <c r="I77" s="33">
        <f>IF(F77="Vacant",0,H77-G77)</f>
        <v/>
      </c>
      <c r="J77" s="34" t="n">
        <v>45191</v>
      </c>
      <c r="K77" s="34" t="n">
        <v>46286</v>
      </c>
      <c r="L77" s="32" t="inlineStr">
        <is>
          <t>No</t>
        </is>
      </c>
      <c r="M77" s="32">
        <f>IF(L77="Yes","A — in-place","B — vacant + laundry")</f>
        <v/>
      </c>
      <c r="N77" s="33">
        <f>IF(L77="Yes",Assumptions!$B$38,Assumptions!$B$49)</f>
        <v/>
      </c>
      <c r="O77" s="33">
        <f>IF(L77="Yes",Assumptions!$B$39,Assumptions!$B$50)</f>
        <v/>
      </c>
      <c r="P77" s="33">
        <f>G77+O77</f>
        <v/>
      </c>
    </row>
    <row r="78">
      <c r="A78" s="10" t="inlineStr">
        <is>
          <t>4042-F</t>
        </is>
      </c>
      <c r="B78" s="32" t="inlineStr">
        <is>
          <t>2/2.00</t>
        </is>
      </c>
      <c r="C78" s="10" t="inlineStr">
        <is>
          <t>Verdun</t>
        </is>
      </c>
      <c r="D78" s="21" t="n">
        <v>1105</v>
      </c>
      <c r="E78" s="10" t="inlineStr">
        <is>
          <t>Current</t>
        </is>
      </c>
      <c r="F78" s="32" t="inlineStr">
        <is>
          <t>Occupied</t>
        </is>
      </c>
      <c r="G78" s="33" t="n">
        <v>1250</v>
      </c>
      <c r="H78" s="33" t="n">
        <v>1212</v>
      </c>
      <c r="I78" s="33">
        <f>IF(F78="Vacant",0,H78-G78)</f>
        <v/>
      </c>
      <c r="J78" s="34" t="n">
        <v>45828</v>
      </c>
      <c r="K78" s="34" t="n">
        <v>46557</v>
      </c>
      <c r="L78" s="32" t="inlineStr">
        <is>
          <t>No</t>
        </is>
      </c>
      <c r="M78" s="32">
        <f>IF(L78="Yes","A — in-place","B — vacant + laundry")</f>
        <v/>
      </c>
      <c r="N78" s="33">
        <f>IF(L78="Yes",Assumptions!$B$38,Assumptions!$B$49)</f>
        <v/>
      </c>
      <c r="O78" s="33">
        <f>IF(L78="Yes",Assumptions!$B$39,Assumptions!$B$50)</f>
        <v/>
      </c>
      <c r="P78" s="33">
        <f>G78+O78</f>
        <v/>
      </c>
    </row>
    <row r="79">
      <c r="A79" s="10" t="inlineStr">
        <is>
          <t>4045-D</t>
        </is>
      </c>
      <c r="B79" s="32" t="inlineStr">
        <is>
          <t>2/2.00</t>
        </is>
      </c>
      <c r="C79" s="10" t="inlineStr">
        <is>
          <t>Verdun</t>
        </is>
      </c>
      <c r="D79" s="21" t="n">
        <v>1105</v>
      </c>
      <c r="E79" s="10" t="inlineStr">
        <is>
          <t>Current</t>
        </is>
      </c>
      <c r="F79" s="32" t="inlineStr">
        <is>
          <t>Occupied</t>
        </is>
      </c>
      <c r="G79" s="33" t="n">
        <v>1250</v>
      </c>
      <c r="H79" s="33" t="n">
        <v>1194</v>
      </c>
      <c r="I79" s="33">
        <f>IF(F79="Vacant",0,H79-G79)</f>
        <v/>
      </c>
      <c r="J79" s="34" t="n">
        <v>45317</v>
      </c>
      <c r="K79" s="34" t="n">
        <v>46443</v>
      </c>
      <c r="L79" s="32" t="inlineStr">
        <is>
          <t>No</t>
        </is>
      </c>
      <c r="M79" s="32">
        <f>IF(L79="Yes","A — in-place","B — vacant + laundry")</f>
        <v/>
      </c>
      <c r="N79" s="33">
        <f>IF(L79="Yes",Assumptions!$B$38,Assumptions!$B$49)</f>
        <v/>
      </c>
      <c r="O79" s="33">
        <f>IF(L79="Yes",Assumptions!$B$39,Assumptions!$B$50)</f>
        <v/>
      </c>
      <c r="P79" s="33">
        <f>G79+O79</f>
        <v/>
      </c>
    </row>
    <row r="80">
      <c r="A80" s="10" t="inlineStr">
        <is>
          <t>4045-E</t>
        </is>
      </c>
      <c r="B80" s="32" t="inlineStr">
        <is>
          <t>2/2.00</t>
        </is>
      </c>
      <c r="C80" s="10" t="inlineStr">
        <is>
          <t>Bordeaux</t>
        </is>
      </c>
      <c r="D80" s="21" t="n">
        <v>1182</v>
      </c>
      <c r="E80" s="10" t="inlineStr">
        <is>
          <t>Current</t>
        </is>
      </c>
      <c r="F80" s="32" t="inlineStr">
        <is>
          <t>Occupied</t>
        </is>
      </c>
      <c r="G80" s="33" t="n">
        <v>1260</v>
      </c>
      <c r="H80" s="33" t="n">
        <v>1239</v>
      </c>
      <c r="I80" s="33">
        <f>IF(F80="Vacant",0,H80-G80)</f>
        <v/>
      </c>
      <c r="J80" s="34" t="n">
        <v>44013</v>
      </c>
      <c r="K80" s="34" t="n">
        <v>46446</v>
      </c>
      <c r="L80" s="32" t="inlineStr">
        <is>
          <t>No</t>
        </is>
      </c>
      <c r="M80" s="32">
        <f>IF(L80="Yes","A — in-place","B — vacant + laundry")</f>
        <v/>
      </c>
      <c r="N80" s="33">
        <f>IF(L80="Yes",Assumptions!$B$38,Assumptions!$B$49)</f>
        <v/>
      </c>
      <c r="O80" s="33">
        <f>IF(L80="Yes",Assumptions!$B$39,Assumptions!$B$50)</f>
        <v/>
      </c>
      <c r="P80" s="33">
        <f>G80+O80</f>
        <v/>
      </c>
    </row>
    <row r="81">
      <c r="A81" s="10" t="inlineStr">
        <is>
          <t>4045-F</t>
        </is>
      </c>
      <c r="B81" s="32" t="inlineStr">
        <is>
          <t>2/2.00</t>
        </is>
      </c>
      <c r="C81" s="10" t="inlineStr">
        <is>
          <t>Verdun</t>
        </is>
      </c>
      <c r="D81" s="21" t="n">
        <v>1105</v>
      </c>
      <c r="E81" s="10" t="inlineStr">
        <is>
          <t>Current</t>
        </is>
      </c>
      <c r="F81" s="32" t="inlineStr">
        <is>
          <t>Occupied</t>
        </is>
      </c>
      <c r="G81" s="33" t="n">
        <v>1250</v>
      </c>
      <c r="H81" s="33" t="n">
        <v>1212</v>
      </c>
      <c r="I81" s="33">
        <f>IF(F81="Vacant",0,H81-G81)</f>
        <v/>
      </c>
      <c r="J81" s="34" t="n">
        <v>46077</v>
      </c>
      <c r="K81" s="34" t="n">
        <v>46468</v>
      </c>
      <c r="L81" s="32" t="inlineStr">
        <is>
          <t>No</t>
        </is>
      </c>
      <c r="M81" s="32">
        <f>IF(L81="Yes","A — in-place","B — vacant + laundry")</f>
        <v/>
      </c>
      <c r="N81" s="33">
        <f>IF(L81="Yes",Assumptions!$B$38,Assumptions!$B$49)</f>
        <v/>
      </c>
      <c r="O81" s="33">
        <f>IF(L81="Yes",Assumptions!$B$39,Assumptions!$B$50)</f>
        <v/>
      </c>
      <c r="P81" s="33">
        <f>G81+O81</f>
        <v/>
      </c>
    </row>
    <row r="82">
      <c r="A82" s="10" t="inlineStr">
        <is>
          <t>4046-C</t>
        </is>
      </c>
      <c r="B82" s="32" t="inlineStr">
        <is>
          <t>2/2.00</t>
        </is>
      </c>
      <c r="C82" s="10" t="inlineStr">
        <is>
          <t>Verdun</t>
        </is>
      </c>
      <c r="D82" s="21" t="n">
        <v>1105</v>
      </c>
      <c r="E82" s="10" t="inlineStr">
        <is>
          <t>Current</t>
        </is>
      </c>
      <c r="F82" s="32" t="inlineStr">
        <is>
          <t>Occupied</t>
        </is>
      </c>
      <c r="G82" s="33" t="n">
        <v>1250</v>
      </c>
      <c r="H82" s="33" t="n">
        <v>1212</v>
      </c>
      <c r="I82" s="33">
        <f>IF(F82="Vacant",0,H82-G82)</f>
        <v/>
      </c>
      <c r="J82" s="34" t="n">
        <v>45925</v>
      </c>
      <c r="K82" s="34" t="n">
        <v>46319</v>
      </c>
      <c r="L82" s="32" t="inlineStr">
        <is>
          <t>No</t>
        </is>
      </c>
      <c r="M82" s="32">
        <f>IF(L82="Yes","A — in-place","B — vacant + laundry")</f>
        <v/>
      </c>
      <c r="N82" s="33">
        <f>IF(L82="Yes",Assumptions!$B$38,Assumptions!$B$49)</f>
        <v/>
      </c>
      <c r="O82" s="33">
        <f>IF(L82="Yes",Assumptions!$B$39,Assumptions!$B$50)</f>
        <v/>
      </c>
      <c r="P82" s="33">
        <f>G82+O82</f>
        <v/>
      </c>
    </row>
    <row r="83">
      <c r="A83" s="10" t="inlineStr">
        <is>
          <t>4046-D</t>
        </is>
      </c>
      <c r="B83" s="32" t="inlineStr">
        <is>
          <t>2/2.00</t>
        </is>
      </c>
      <c r="C83" s="10" t="inlineStr">
        <is>
          <t>Bordeaux</t>
        </is>
      </c>
      <c r="D83" s="21" t="n">
        <v>1182</v>
      </c>
      <c r="E83" s="10" t="inlineStr">
        <is>
          <t>Current</t>
        </is>
      </c>
      <c r="F83" s="32" t="inlineStr">
        <is>
          <t>Occupied</t>
        </is>
      </c>
      <c r="G83" s="33" t="n">
        <v>1260</v>
      </c>
      <c r="H83" s="33" t="n">
        <v>1242</v>
      </c>
      <c r="I83" s="33">
        <f>IF(F83="Vacant",0,H83-G83)</f>
        <v/>
      </c>
      <c r="J83" s="34" t="n">
        <v>45136</v>
      </c>
      <c r="K83" s="34" t="n">
        <v>46231</v>
      </c>
      <c r="L83" s="32" t="inlineStr">
        <is>
          <t>No</t>
        </is>
      </c>
      <c r="M83" s="32">
        <f>IF(L83="Yes","A — in-place","B — vacant + laundry")</f>
        <v/>
      </c>
      <c r="N83" s="33">
        <f>IF(L83="Yes",Assumptions!$B$38,Assumptions!$B$49)</f>
        <v/>
      </c>
      <c r="O83" s="33">
        <f>IF(L83="Yes",Assumptions!$B$39,Assumptions!$B$50)</f>
        <v/>
      </c>
      <c r="P83" s="33">
        <f>G83+O83</f>
        <v/>
      </c>
    </row>
    <row r="84">
      <c r="A84" s="10" t="inlineStr">
        <is>
          <t>4046-E</t>
        </is>
      </c>
      <c r="B84" s="32" t="inlineStr">
        <is>
          <t>2/2.00</t>
        </is>
      </c>
      <c r="C84" s="10" t="inlineStr">
        <is>
          <t>Verdun</t>
        </is>
      </c>
      <c r="D84" s="21" t="n">
        <v>1105</v>
      </c>
      <c r="E84" s="10" t="inlineStr">
        <is>
          <t>Current</t>
        </is>
      </c>
      <c r="F84" s="32" t="inlineStr">
        <is>
          <t>Occupied</t>
        </is>
      </c>
      <c r="G84" s="33" t="n">
        <v>1250</v>
      </c>
      <c r="H84" s="33" t="n">
        <v>1205</v>
      </c>
      <c r="I84" s="33">
        <f>IF(F84="Vacant",0,H84-G84)</f>
        <v/>
      </c>
      <c r="J84" s="34" t="n">
        <v>39142</v>
      </c>
      <c r="K84" s="34" t="n">
        <v>46295</v>
      </c>
      <c r="L84" s="32" t="inlineStr">
        <is>
          <t>No</t>
        </is>
      </c>
      <c r="M84" s="32">
        <f>IF(L84="Yes","A — in-place","B — vacant + laundry")</f>
        <v/>
      </c>
      <c r="N84" s="33">
        <f>IF(L84="Yes",Assumptions!$B$38,Assumptions!$B$49)</f>
        <v/>
      </c>
      <c r="O84" s="33">
        <f>IF(L84="Yes",Assumptions!$B$39,Assumptions!$B$50)</f>
        <v/>
      </c>
      <c r="P84" s="33">
        <f>G84+O84</f>
        <v/>
      </c>
    </row>
    <row r="85">
      <c r="A85" s="10" t="inlineStr">
        <is>
          <t>4046-F</t>
        </is>
      </c>
      <c r="B85" s="32" t="inlineStr">
        <is>
          <t>2/2.00</t>
        </is>
      </c>
      <c r="C85" s="10" t="inlineStr">
        <is>
          <t>Bordeaux</t>
        </is>
      </c>
      <c r="D85" s="21" t="n">
        <v>1182</v>
      </c>
      <c r="E85" s="10" t="inlineStr">
        <is>
          <t>Current</t>
        </is>
      </c>
      <c r="F85" s="32" t="inlineStr">
        <is>
          <t>Occupied</t>
        </is>
      </c>
      <c r="G85" s="33" t="n">
        <v>1260</v>
      </c>
      <c r="H85" s="33" t="n">
        <v>1239</v>
      </c>
      <c r="I85" s="33">
        <f>IF(F85="Vacant",0,H85-G85)</f>
        <v/>
      </c>
      <c r="J85" s="34" t="n">
        <v>43948</v>
      </c>
      <c r="K85" s="34" t="n">
        <v>46503</v>
      </c>
      <c r="L85" s="32" t="inlineStr">
        <is>
          <t>No</t>
        </is>
      </c>
      <c r="M85" s="32">
        <f>IF(L85="Yes","A — in-place","B — vacant + laundry")</f>
        <v/>
      </c>
      <c r="N85" s="33">
        <f>IF(L85="Yes",Assumptions!$B$38,Assumptions!$B$49)</f>
        <v/>
      </c>
      <c r="O85" s="33">
        <f>IF(L85="Yes",Assumptions!$B$39,Assumptions!$B$50)</f>
        <v/>
      </c>
      <c r="P85" s="33">
        <f>G85+O85</f>
        <v/>
      </c>
    </row>
    <row r="86">
      <c r="A86" s="10" t="inlineStr">
        <is>
          <t>4013-D</t>
        </is>
      </c>
      <c r="B86" s="32" t="inlineStr">
        <is>
          <t>2/2.00</t>
        </is>
      </c>
      <c r="C86" s="10" t="inlineStr">
        <is>
          <t>Verdun</t>
        </is>
      </c>
      <c r="D86" s="21" t="n">
        <v>1105</v>
      </c>
      <c r="E86" s="10" t="inlineStr">
        <is>
          <t>Evict</t>
        </is>
      </c>
      <c r="F86" s="32" t="inlineStr">
        <is>
          <t>Occupied</t>
        </is>
      </c>
      <c r="G86" s="33" t="n">
        <v>1250</v>
      </c>
      <c r="H86" s="33" t="n">
        <v>1212</v>
      </c>
      <c r="I86" s="33">
        <f>IF(F86="Vacant",0,H86-G86)</f>
        <v/>
      </c>
      <c r="J86" s="34" t="n">
        <v>45971</v>
      </c>
      <c r="K86" s="34" t="n">
        <v>46335</v>
      </c>
      <c r="L86" s="32" t="inlineStr">
        <is>
          <t>No</t>
        </is>
      </c>
      <c r="M86" s="32">
        <f>IF(L86="Yes","A — in-place","B — vacant + laundry")</f>
        <v/>
      </c>
      <c r="N86" s="33">
        <f>IF(L86="Yes",Assumptions!$B$38,Assumptions!$B$49)</f>
        <v/>
      </c>
      <c r="O86" s="33">
        <f>IF(L86="Yes",Assumptions!$B$39,Assumptions!$B$50)</f>
        <v/>
      </c>
      <c r="P86" s="33">
        <f>G86+O86</f>
        <v/>
      </c>
    </row>
    <row r="87">
      <c r="A87" s="10" t="inlineStr">
        <is>
          <t>4013-E</t>
        </is>
      </c>
      <c r="B87" s="32" t="inlineStr">
        <is>
          <t>2/2.00</t>
        </is>
      </c>
      <c r="C87" s="10" t="inlineStr">
        <is>
          <t>Bordeaux</t>
        </is>
      </c>
      <c r="D87" s="21" t="n">
        <v>1182</v>
      </c>
      <c r="E87" s="10" t="inlineStr">
        <is>
          <t>Notice-Unrented</t>
        </is>
      </c>
      <c r="F87" s="32" t="inlineStr">
        <is>
          <t>Occupied</t>
        </is>
      </c>
      <c r="G87" s="33" t="n">
        <v>1260</v>
      </c>
      <c r="H87" s="33" t="n">
        <v>1257</v>
      </c>
      <c r="I87" s="33">
        <f>IF(F87="Vacant",0,H87-G87)</f>
        <v/>
      </c>
      <c r="J87" s="34" t="n">
        <v>45884</v>
      </c>
      <c r="K87" s="34" t="n">
        <v>46248</v>
      </c>
      <c r="L87" s="32" t="inlineStr">
        <is>
          <t>No</t>
        </is>
      </c>
      <c r="M87" s="32">
        <f>IF(L87="Yes","A — in-place","B — vacant + laundry")</f>
        <v/>
      </c>
      <c r="N87" s="33">
        <f>IF(L87="Yes",Assumptions!$B$38,Assumptions!$B$49)</f>
        <v/>
      </c>
      <c r="O87" s="33">
        <f>IF(L87="Yes",Assumptions!$B$39,Assumptions!$B$50)</f>
        <v/>
      </c>
      <c r="P87" s="33">
        <f>G87+O87</f>
        <v/>
      </c>
    </row>
    <row r="88">
      <c r="A88" s="10" t="inlineStr">
        <is>
          <t>4017-C</t>
        </is>
      </c>
      <c r="B88" s="32" t="inlineStr">
        <is>
          <t>2/2.00</t>
        </is>
      </c>
      <c r="C88" s="10" t="inlineStr">
        <is>
          <t>Verdun</t>
        </is>
      </c>
      <c r="D88" s="21" t="n">
        <v>1105</v>
      </c>
      <c r="E88" s="10" t="inlineStr">
        <is>
          <t>Notice-Unrented</t>
        </is>
      </c>
      <c r="F88" s="32" t="inlineStr">
        <is>
          <t>Occupied</t>
        </is>
      </c>
      <c r="G88" s="33" t="n">
        <v>1250</v>
      </c>
      <c r="H88" s="33" t="n">
        <v>821.03</v>
      </c>
      <c r="I88" s="33">
        <f>IF(F88="Vacant",0,H88-G88)</f>
        <v/>
      </c>
      <c r="J88" s="34" t="n">
        <v>45854</v>
      </c>
      <c r="K88" s="34" t="n">
        <v>46218</v>
      </c>
      <c r="L88" s="32" t="inlineStr">
        <is>
          <t>No</t>
        </is>
      </c>
      <c r="M88" s="32">
        <f>IF(L88="Yes","A — in-place","B — vacant + laundry")</f>
        <v/>
      </c>
      <c r="N88" s="33">
        <f>IF(L88="Yes",Assumptions!$B$38,Assumptions!$B$49)</f>
        <v/>
      </c>
      <c r="O88" s="33">
        <f>IF(L88="Yes",Assumptions!$B$39,Assumptions!$B$50)</f>
        <v/>
      </c>
      <c r="P88" s="33">
        <f>G88+O88</f>
        <v/>
      </c>
    </row>
    <row r="89">
      <c r="A89" s="10" t="inlineStr">
        <is>
          <t>4017-D</t>
        </is>
      </c>
      <c r="B89" s="32" t="inlineStr">
        <is>
          <t>2/2.00</t>
        </is>
      </c>
      <c r="C89" s="10" t="inlineStr">
        <is>
          <t>Bordeaux</t>
        </is>
      </c>
      <c r="D89" s="21" t="n">
        <v>1182</v>
      </c>
      <c r="E89" s="10" t="inlineStr">
        <is>
          <t>Notice-Unrented</t>
        </is>
      </c>
      <c r="F89" s="32" t="inlineStr">
        <is>
          <t>Occupied</t>
        </is>
      </c>
      <c r="G89" s="33" t="n">
        <v>1260</v>
      </c>
      <c r="H89" s="33" t="n">
        <v>1298</v>
      </c>
      <c r="I89" s="33">
        <f>IF(F89="Vacant",0,H89-G89)</f>
        <v/>
      </c>
      <c r="J89" s="34" t="n">
        <v>44385</v>
      </c>
      <c r="K89" s="34" t="n">
        <v>46210</v>
      </c>
      <c r="L89" s="32" t="inlineStr">
        <is>
          <t>No</t>
        </is>
      </c>
      <c r="M89" s="32">
        <f>IF(L89="Yes","A — in-place","B — vacant + laundry")</f>
        <v/>
      </c>
      <c r="N89" s="33">
        <f>IF(L89="Yes",Assumptions!$B$38,Assumptions!$B$49)</f>
        <v/>
      </c>
      <c r="O89" s="33">
        <f>IF(L89="Yes",Assumptions!$B$39,Assumptions!$B$50)</f>
        <v/>
      </c>
      <c r="P89" s="33">
        <f>G89+O89</f>
        <v/>
      </c>
    </row>
    <row r="90">
      <c r="A90" s="10" t="inlineStr">
        <is>
          <t>4041-E</t>
        </is>
      </c>
      <c r="B90" s="32" t="inlineStr">
        <is>
          <t>2/2.00</t>
        </is>
      </c>
      <c r="C90" s="10" t="inlineStr">
        <is>
          <t>Verdun</t>
        </is>
      </c>
      <c r="D90" s="21" t="n">
        <v>1105</v>
      </c>
      <c r="E90" s="10" t="inlineStr">
        <is>
          <t>Notice-Unrented</t>
        </is>
      </c>
      <c r="F90" s="32" t="inlineStr">
        <is>
          <t>Occupied</t>
        </is>
      </c>
      <c r="G90" s="33" t="n">
        <v>1250</v>
      </c>
      <c r="H90" s="33" t="n">
        <v>1209</v>
      </c>
      <c r="I90" s="33">
        <f>IF(F90="Vacant",0,H90-G90)</f>
        <v/>
      </c>
      <c r="J90" s="34" t="n">
        <v>45606</v>
      </c>
      <c r="K90" s="34" t="n">
        <v>46335</v>
      </c>
      <c r="L90" s="32" t="inlineStr">
        <is>
          <t>No</t>
        </is>
      </c>
      <c r="M90" s="32">
        <f>IF(L90="Yes","A — in-place","B — vacant + laundry")</f>
        <v/>
      </c>
      <c r="N90" s="33">
        <f>IF(L90="Yes",Assumptions!$B$38,Assumptions!$B$49)</f>
        <v/>
      </c>
      <c r="O90" s="33">
        <f>IF(L90="Yes",Assumptions!$B$39,Assumptions!$B$50)</f>
        <v/>
      </c>
      <c r="P90" s="33">
        <f>G90+O90</f>
        <v/>
      </c>
    </row>
    <row r="91">
      <c r="A91" s="10" t="inlineStr">
        <is>
          <t>4045-C</t>
        </is>
      </c>
      <c r="B91" s="32" t="inlineStr">
        <is>
          <t>2/2.00</t>
        </is>
      </c>
      <c r="C91" s="10" t="inlineStr">
        <is>
          <t>Bordeaux</t>
        </is>
      </c>
      <c r="D91" s="21" t="n">
        <v>1182</v>
      </c>
      <c r="E91" s="10" t="inlineStr">
        <is>
          <t>Vacant-Unrented</t>
        </is>
      </c>
      <c r="F91" s="35" t="inlineStr">
        <is>
          <t>Vacant</t>
        </is>
      </c>
      <c r="G91" s="33" t="n">
        <v>1260</v>
      </c>
      <c r="H91" s="33" t="n"/>
      <c r="I91" s="33">
        <f>IF(F91="Vacant",0,H91-G91)</f>
        <v/>
      </c>
      <c r="J91" s="34" t="n"/>
      <c r="K91" s="34" t="n"/>
      <c r="L91" s="32" t="inlineStr">
        <is>
          <t>No</t>
        </is>
      </c>
      <c r="M91" s="32">
        <f>IF(L91="Yes","A — in-place","B — vacant + laundry")</f>
        <v/>
      </c>
      <c r="N91" s="33">
        <f>IF(L91="Yes",Assumptions!$B$38,Assumptions!$B$49)</f>
        <v/>
      </c>
      <c r="O91" s="33">
        <f>IF(L91="Yes",Assumptions!$B$39,Assumptions!$B$50)</f>
        <v/>
      </c>
      <c r="P91" s="33">
        <f>G91+O91</f>
        <v/>
      </c>
    </row>
    <row r="92">
      <c r="A92" s="10" t="inlineStr">
        <is>
          <t>4046-A</t>
        </is>
      </c>
      <c r="B92" s="32" t="inlineStr">
        <is>
          <t>2/2.00</t>
        </is>
      </c>
      <c r="C92" s="10" t="inlineStr">
        <is>
          <t>Verdun</t>
        </is>
      </c>
      <c r="D92" s="21" t="n">
        <v>1105</v>
      </c>
      <c r="E92" s="10" t="inlineStr">
        <is>
          <t>Vacant-Unrented</t>
        </is>
      </c>
      <c r="F92" s="35" t="inlineStr">
        <is>
          <t>Vacant</t>
        </is>
      </c>
      <c r="G92" s="33" t="n">
        <v>1250</v>
      </c>
      <c r="H92" s="33" t="n"/>
      <c r="I92" s="33">
        <f>IF(F92="Vacant",0,H92-G92)</f>
        <v/>
      </c>
      <c r="J92" s="34" t="n"/>
      <c r="K92" s="34" t="n"/>
      <c r="L92" s="32" t="inlineStr">
        <is>
          <t>No</t>
        </is>
      </c>
      <c r="M92" s="32">
        <f>IF(L92="Yes","A — in-place","B — vacant + laundry")</f>
        <v/>
      </c>
      <c r="N92" s="33">
        <f>IF(L92="Yes",Assumptions!$B$38,Assumptions!$B$49)</f>
        <v/>
      </c>
      <c r="O92" s="33">
        <f>IF(L92="Yes",Assumptions!$B$39,Assumptions!$B$50)</f>
        <v/>
      </c>
      <c r="P92" s="33">
        <f>G92+O92</f>
        <v/>
      </c>
    </row>
    <row r="93">
      <c r="A93" s="10" t="inlineStr">
        <is>
          <t>4046-B</t>
        </is>
      </c>
      <c r="B93" s="32" t="inlineStr">
        <is>
          <t>2/2.00</t>
        </is>
      </c>
      <c r="C93" s="10" t="inlineStr">
        <is>
          <t>Bordeaux</t>
        </is>
      </c>
      <c r="D93" s="21" t="n">
        <v>1182</v>
      </c>
      <c r="E93" s="10" t="inlineStr">
        <is>
          <t>Vacant-Unrented</t>
        </is>
      </c>
      <c r="F93" s="35" t="inlineStr">
        <is>
          <t>Vacant</t>
        </is>
      </c>
      <c r="G93" s="33" t="n">
        <v>1260</v>
      </c>
      <c r="H93" s="33" t="n"/>
      <c r="I93" s="33">
        <f>IF(F93="Vacant",0,H93-G93)</f>
        <v/>
      </c>
      <c r="J93" s="34" t="n"/>
      <c r="K93" s="34" t="n"/>
      <c r="L93" s="32" t="inlineStr">
        <is>
          <t>No</t>
        </is>
      </c>
      <c r="M93" s="32">
        <f>IF(L93="Yes","A — in-place","B — vacant + laundry")</f>
        <v/>
      </c>
      <c r="N93" s="33">
        <f>IF(L93="Yes",Assumptions!$B$38,Assumptions!$B$49)</f>
        <v/>
      </c>
      <c r="O93" s="33">
        <f>IF(L93="Yes",Assumptions!$B$39,Assumptions!$B$50)</f>
        <v/>
      </c>
      <c r="P93" s="33">
        <f>G93+O93</f>
        <v/>
      </c>
    </row>
    <row r="94">
      <c r="A94" s="10" t="inlineStr">
        <is>
          <t>4001-B</t>
        </is>
      </c>
      <c r="B94" s="32" t="inlineStr">
        <is>
          <t>3/2.00</t>
        </is>
      </c>
      <c r="C94" s="10" t="inlineStr">
        <is>
          <t>Brunswick w/ WD</t>
        </is>
      </c>
      <c r="D94" s="21" t="n">
        <v>1590</v>
      </c>
      <c r="E94" s="10" t="inlineStr">
        <is>
          <t>Current</t>
        </is>
      </c>
      <c r="F94" s="32" t="inlineStr">
        <is>
          <t>Occupied</t>
        </is>
      </c>
      <c r="G94" s="33" t="n">
        <v>1600</v>
      </c>
      <c r="H94" s="33" t="n">
        <v>1581</v>
      </c>
      <c r="I94" s="33">
        <f>IF(F94="Vacant",0,H94-G94)</f>
        <v/>
      </c>
      <c r="J94" s="34" t="n">
        <v>46109</v>
      </c>
      <c r="K94" s="34" t="n">
        <v>46504</v>
      </c>
      <c r="L94" s="32" t="inlineStr">
        <is>
          <t>Yes</t>
        </is>
      </c>
      <c r="M94" s="32">
        <f>IF(L94="Yes","A — in-place","B — vacant + laundry")</f>
        <v/>
      </c>
      <c r="N94" s="33">
        <f>IF(L94="Yes",Assumptions!$B$38,Assumptions!$B$49)</f>
        <v/>
      </c>
      <c r="O94" s="33">
        <f>IF(L94="Yes",Assumptions!$B$39,Assumptions!$B$50)</f>
        <v/>
      </c>
      <c r="P94" s="33">
        <f>G94+O94</f>
        <v/>
      </c>
    </row>
    <row r="95">
      <c r="A95" s="10" t="inlineStr">
        <is>
          <t>4001-D</t>
        </is>
      </c>
      <c r="B95" s="32" t="inlineStr">
        <is>
          <t>3/2.00</t>
        </is>
      </c>
      <c r="C95" s="10" t="inlineStr">
        <is>
          <t>Brunswick w/ WD</t>
        </is>
      </c>
      <c r="D95" s="21" t="n">
        <v>1590</v>
      </c>
      <c r="E95" s="10" t="inlineStr">
        <is>
          <t>Current</t>
        </is>
      </c>
      <c r="F95" s="32" t="inlineStr">
        <is>
          <t>Occupied</t>
        </is>
      </c>
      <c r="G95" s="33" t="n">
        <v>1600</v>
      </c>
      <c r="H95" s="33" t="n">
        <v>1581</v>
      </c>
      <c r="I95" s="33">
        <f>IF(F95="Vacant",0,H95-G95)</f>
        <v/>
      </c>
      <c r="J95" s="34" t="n">
        <v>46111</v>
      </c>
      <c r="K95" s="34" t="n">
        <v>46506</v>
      </c>
      <c r="L95" s="32" t="inlineStr">
        <is>
          <t>Yes</t>
        </is>
      </c>
      <c r="M95" s="32">
        <f>IF(L95="Yes","A — in-place","B — vacant + laundry")</f>
        <v/>
      </c>
      <c r="N95" s="33">
        <f>IF(L95="Yes",Assumptions!$B$38,Assumptions!$B$49)</f>
        <v/>
      </c>
      <c r="O95" s="33">
        <f>IF(L95="Yes",Assumptions!$B$39,Assumptions!$B$50)</f>
        <v/>
      </c>
      <c r="P95" s="33">
        <f>G95+O95</f>
        <v/>
      </c>
    </row>
    <row r="96">
      <c r="A96" s="10" t="inlineStr">
        <is>
          <t>4001-F</t>
        </is>
      </c>
      <c r="B96" s="32" t="inlineStr">
        <is>
          <t>3/2.00</t>
        </is>
      </c>
      <c r="C96" s="10" t="inlineStr">
        <is>
          <t>Brunswick w/ WD</t>
        </is>
      </c>
      <c r="D96" s="21" t="n">
        <v>1590</v>
      </c>
      <c r="E96" s="10" t="inlineStr">
        <is>
          <t>Current</t>
        </is>
      </c>
      <c r="F96" s="32" t="inlineStr">
        <is>
          <t>Occupied</t>
        </is>
      </c>
      <c r="G96" s="33" t="n">
        <v>1600</v>
      </c>
      <c r="H96" s="33" t="n">
        <v>1557</v>
      </c>
      <c r="I96" s="33">
        <f>IF(F96="Vacant",0,H96-G96)</f>
        <v/>
      </c>
      <c r="J96" s="34" t="n">
        <v>45721</v>
      </c>
      <c r="K96" s="34" t="n">
        <v>46450</v>
      </c>
      <c r="L96" s="32" t="inlineStr">
        <is>
          <t>Yes</t>
        </is>
      </c>
      <c r="M96" s="32">
        <f>IF(L96="Yes","A — in-place","B — vacant + laundry")</f>
        <v/>
      </c>
      <c r="N96" s="33">
        <f>IF(L96="Yes",Assumptions!$B$38,Assumptions!$B$49)</f>
        <v/>
      </c>
      <c r="O96" s="33">
        <f>IF(L96="Yes",Assumptions!$B$39,Assumptions!$B$50)</f>
        <v/>
      </c>
      <c r="P96" s="33">
        <f>G96+O96</f>
        <v/>
      </c>
    </row>
    <row r="97">
      <c r="A97" s="10" t="inlineStr">
        <is>
          <t>4002-A</t>
        </is>
      </c>
      <c r="B97" s="32" t="inlineStr">
        <is>
          <t>3/2.00</t>
        </is>
      </c>
      <c r="C97" s="10" t="inlineStr">
        <is>
          <t>Brunswick w/ WD</t>
        </is>
      </c>
      <c r="D97" s="21" t="n">
        <v>1590</v>
      </c>
      <c r="E97" s="10" t="inlineStr">
        <is>
          <t>Current</t>
        </is>
      </c>
      <c r="F97" s="32" t="inlineStr">
        <is>
          <t>Occupied</t>
        </is>
      </c>
      <c r="G97" s="33" t="n">
        <v>1600</v>
      </c>
      <c r="H97" s="33" t="n">
        <v>1581</v>
      </c>
      <c r="I97" s="33">
        <f>IF(F97="Vacant",0,H97-G97)</f>
        <v/>
      </c>
      <c r="J97" s="34" t="n">
        <v>46143</v>
      </c>
      <c r="K97" s="34" t="n">
        <v>46507</v>
      </c>
      <c r="L97" s="32" t="inlineStr">
        <is>
          <t>Yes</t>
        </is>
      </c>
      <c r="M97" s="32">
        <f>IF(L97="Yes","A — in-place","B — vacant + laundry")</f>
        <v/>
      </c>
      <c r="N97" s="33">
        <f>IF(L97="Yes",Assumptions!$B$38,Assumptions!$B$49)</f>
        <v/>
      </c>
      <c r="O97" s="33">
        <f>IF(L97="Yes",Assumptions!$B$39,Assumptions!$B$50)</f>
        <v/>
      </c>
      <c r="P97" s="33">
        <f>G97+O97</f>
        <v/>
      </c>
    </row>
    <row r="98">
      <c r="A98" s="10" t="inlineStr">
        <is>
          <t>4005-C</t>
        </is>
      </c>
      <c r="B98" s="32" t="inlineStr">
        <is>
          <t>3/2.00</t>
        </is>
      </c>
      <c r="C98" s="10" t="inlineStr">
        <is>
          <t>Brunswick w/ WD</t>
        </is>
      </c>
      <c r="D98" s="21" t="n">
        <v>1590</v>
      </c>
      <c r="E98" s="10" t="inlineStr">
        <is>
          <t>Current</t>
        </is>
      </c>
      <c r="F98" s="32" t="inlineStr">
        <is>
          <t>Occupied</t>
        </is>
      </c>
      <c r="G98" s="33" t="n">
        <v>1600</v>
      </c>
      <c r="H98" s="33" t="n">
        <v>1581</v>
      </c>
      <c r="I98" s="33">
        <f>IF(F98="Vacant",0,H98-G98)</f>
        <v/>
      </c>
      <c r="J98" s="34" t="n">
        <v>46076</v>
      </c>
      <c r="K98" s="34" t="n">
        <v>46468</v>
      </c>
      <c r="L98" s="32" t="inlineStr">
        <is>
          <t>Yes</t>
        </is>
      </c>
      <c r="M98" s="32">
        <f>IF(L98="Yes","A — in-place","B — vacant + laundry")</f>
        <v/>
      </c>
      <c r="N98" s="33">
        <f>IF(L98="Yes",Assumptions!$B$38,Assumptions!$B$49)</f>
        <v/>
      </c>
      <c r="O98" s="33">
        <f>IF(L98="Yes",Assumptions!$B$39,Assumptions!$B$50)</f>
        <v/>
      </c>
      <c r="P98" s="33">
        <f>G98+O98</f>
        <v/>
      </c>
    </row>
    <row r="99">
      <c r="A99" s="10" t="inlineStr">
        <is>
          <t>4005-E</t>
        </is>
      </c>
      <c r="B99" s="32" t="inlineStr">
        <is>
          <t>3/2.00</t>
        </is>
      </c>
      <c r="C99" s="10" t="inlineStr">
        <is>
          <t>Brunswick w/ WD</t>
        </is>
      </c>
      <c r="D99" s="21" t="n">
        <v>1590</v>
      </c>
      <c r="E99" s="10" t="inlineStr">
        <is>
          <t>Current</t>
        </is>
      </c>
      <c r="F99" s="32" t="inlineStr">
        <is>
          <t>Occupied</t>
        </is>
      </c>
      <c r="G99" s="33" t="n">
        <v>1600</v>
      </c>
      <c r="H99" s="33" t="n">
        <v>1571</v>
      </c>
      <c r="I99" s="33">
        <f>IF(F99="Vacant",0,H99-G99)</f>
        <v/>
      </c>
      <c r="J99" s="34" t="n">
        <v>45493</v>
      </c>
      <c r="K99" s="34" t="n">
        <v>46222</v>
      </c>
      <c r="L99" s="32" t="inlineStr">
        <is>
          <t>Yes</t>
        </is>
      </c>
      <c r="M99" s="32">
        <f>IF(L99="Yes","A — in-place","B — vacant + laundry")</f>
        <v/>
      </c>
      <c r="N99" s="33">
        <f>IF(L99="Yes",Assumptions!$B$38,Assumptions!$B$49)</f>
        <v/>
      </c>
      <c r="O99" s="33">
        <f>IF(L99="Yes",Assumptions!$B$39,Assumptions!$B$50)</f>
        <v/>
      </c>
      <c r="P99" s="33">
        <f>G99+O99</f>
        <v/>
      </c>
    </row>
    <row r="100">
      <c r="A100" s="10" t="inlineStr">
        <is>
          <t>4006-B</t>
        </is>
      </c>
      <c r="B100" s="32" t="inlineStr">
        <is>
          <t>3/2.00</t>
        </is>
      </c>
      <c r="C100" s="10" t="inlineStr">
        <is>
          <t>Brunswick w/ WD</t>
        </is>
      </c>
      <c r="D100" s="21" t="n">
        <v>1590</v>
      </c>
      <c r="E100" s="10" t="inlineStr">
        <is>
          <t>Current</t>
        </is>
      </c>
      <c r="F100" s="32" t="inlineStr">
        <is>
          <t>Occupied</t>
        </is>
      </c>
      <c r="G100" s="33" t="n">
        <v>1600</v>
      </c>
      <c r="H100" s="33" t="n">
        <v>1571</v>
      </c>
      <c r="I100" s="33">
        <f>IF(F100="Vacant",0,H100-G100)</f>
        <v/>
      </c>
      <c r="J100" s="34" t="n">
        <v>43724</v>
      </c>
      <c r="K100" s="34" t="n">
        <v>46278</v>
      </c>
      <c r="L100" s="32" t="inlineStr">
        <is>
          <t>Yes</t>
        </is>
      </c>
      <c r="M100" s="32">
        <f>IF(L100="Yes","A — in-place","B — vacant + laundry")</f>
        <v/>
      </c>
      <c r="N100" s="33">
        <f>IF(L100="Yes",Assumptions!$B$38,Assumptions!$B$49)</f>
        <v/>
      </c>
      <c r="O100" s="33">
        <f>IF(L100="Yes",Assumptions!$B$39,Assumptions!$B$50)</f>
        <v/>
      </c>
      <c r="P100" s="33">
        <f>G100+O100</f>
        <v/>
      </c>
    </row>
    <row r="101">
      <c r="A101" s="10" t="inlineStr">
        <is>
          <t>4006-D</t>
        </is>
      </c>
      <c r="B101" s="32" t="inlineStr">
        <is>
          <t>3/2.00</t>
        </is>
      </c>
      <c r="C101" s="10" t="inlineStr">
        <is>
          <t>Brunswick w/ WD</t>
        </is>
      </c>
      <c r="D101" s="21" t="n">
        <v>1590</v>
      </c>
      <c r="E101" s="10" t="inlineStr">
        <is>
          <t>Current</t>
        </is>
      </c>
      <c r="F101" s="32" t="inlineStr">
        <is>
          <t>Occupied</t>
        </is>
      </c>
      <c r="G101" s="33" t="n">
        <v>1600</v>
      </c>
      <c r="H101" s="33" t="n">
        <v>1581</v>
      </c>
      <c r="I101" s="33">
        <f>IF(F101="Vacant",0,H101-G101)</f>
        <v/>
      </c>
      <c r="J101" s="34" t="n">
        <v>46101</v>
      </c>
      <c r="K101" s="34" t="n">
        <v>46496</v>
      </c>
      <c r="L101" s="32" t="inlineStr">
        <is>
          <t>Yes</t>
        </is>
      </c>
      <c r="M101" s="32">
        <f>IF(L101="Yes","A — in-place","B — vacant + laundry")</f>
        <v/>
      </c>
      <c r="N101" s="33">
        <f>IF(L101="Yes",Assumptions!$B$38,Assumptions!$B$49)</f>
        <v/>
      </c>
      <c r="O101" s="33">
        <f>IF(L101="Yes",Assumptions!$B$39,Assumptions!$B$50)</f>
        <v/>
      </c>
      <c r="P101" s="33">
        <f>G101+O101</f>
        <v/>
      </c>
    </row>
    <row r="102">
      <c r="A102" s="10" t="inlineStr">
        <is>
          <t>4006-F</t>
        </is>
      </c>
      <c r="B102" s="32" t="inlineStr">
        <is>
          <t>3/2.00</t>
        </is>
      </c>
      <c r="C102" s="10" t="inlineStr">
        <is>
          <t>Brunswick w/ WD</t>
        </is>
      </c>
      <c r="D102" s="21" t="n">
        <v>1590</v>
      </c>
      <c r="E102" s="10" t="inlineStr">
        <is>
          <t>Current</t>
        </is>
      </c>
      <c r="F102" s="32" t="inlineStr">
        <is>
          <t>Occupied</t>
        </is>
      </c>
      <c r="G102" s="33" t="n">
        <v>1600</v>
      </c>
      <c r="H102" s="33" t="n">
        <v>1561</v>
      </c>
      <c r="I102" s="33">
        <f>IF(F102="Vacant",0,H102-G102)</f>
        <v/>
      </c>
      <c r="J102" s="34" t="n">
        <v>45536</v>
      </c>
      <c r="K102" s="34" t="n">
        <v>46295</v>
      </c>
      <c r="L102" s="32" t="inlineStr">
        <is>
          <t>Yes</t>
        </is>
      </c>
      <c r="M102" s="32">
        <f>IF(L102="Yes","A — in-place","B — vacant + laundry")</f>
        <v/>
      </c>
      <c r="N102" s="33">
        <f>IF(L102="Yes",Assumptions!$B$38,Assumptions!$B$49)</f>
        <v/>
      </c>
      <c r="O102" s="33">
        <f>IF(L102="Yes",Assumptions!$B$39,Assumptions!$B$50)</f>
        <v/>
      </c>
      <c r="P102" s="33">
        <f>G102+O102</f>
        <v/>
      </c>
    </row>
    <row r="103">
      <c r="A103" s="10" t="inlineStr">
        <is>
          <t>4025-B</t>
        </is>
      </c>
      <c r="B103" s="32" t="inlineStr">
        <is>
          <t>3/2.00</t>
        </is>
      </c>
      <c r="C103" s="10" t="inlineStr">
        <is>
          <t>Brunswick w/ WD</t>
        </is>
      </c>
      <c r="D103" s="21" t="n">
        <v>1590</v>
      </c>
      <c r="E103" s="10" t="inlineStr">
        <is>
          <t>Current</t>
        </is>
      </c>
      <c r="F103" s="32" t="inlineStr">
        <is>
          <t>Occupied</t>
        </is>
      </c>
      <c r="G103" s="33" t="n">
        <v>1600</v>
      </c>
      <c r="H103" s="33" t="n">
        <v>1581</v>
      </c>
      <c r="I103" s="33">
        <f>IF(F103="Vacant",0,H103-G103)</f>
        <v/>
      </c>
      <c r="J103" s="34" t="n">
        <v>37196</v>
      </c>
      <c r="K103" s="34" t="n">
        <v>46326</v>
      </c>
      <c r="L103" s="32" t="inlineStr">
        <is>
          <t>Yes</t>
        </is>
      </c>
      <c r="M103" s="32">
        <f>IF(L103="Yes","A — in-place","B — vacant + laundry")</f>
        <v/>
      </c>
      <c r="N103" s="33">
        <f>IF(L103="Yes",Assumptions!$B$38,Assumptions!$B$49)</f>
        <v/>
      </c>
      <c r="O103" s="33">
        <f>IF(L103="Yes",Assumptions!$B$39,Assumptions!$B$50)</f>
        <v/>
      </c>
      <c r="P103" s="33">
        <f>G103+O103</f>
        <v/>
      </c>
    </row>
    <row r="104">
      <c r="A104" s="10" t="inlineStr">
        <is>
          <t>4025-D</t>
        </is>
      </c>
      <c r="B104" s="32" t="inlineStr">
        <is>
          <t>3/2.00</t>
        </is>
      </c>
      <c r="C104" s="10" t="inlineStr">
        <is>
          <t>Brunswick w/ WD</t>
        </is>
      </c>
      <c r="D104" s="21" t="n">
        <v>1590</v>
      </c>
      <c r="E104" s="10" t="inlineStr">
        <is>
          <t>Current</t>
        </is>
      </c>
      <c r="F104" s="32" t="inlineStr">
        <is>
          <t>Occupied</t>
        </is>
      </c>
      <c r="G104" s="33" t="n">
        <v>1600</v>
      </c>
      <c r="H104" s="33" t="n">
        <v>1581</v>
      </c>
      <c r="I104" s="33">
        <f>IF(F104="Vacant",0,H104-G104)</f>
        <v/>
      </c>
      <c r="J104" s="34" t="n">
        <v>45919</v>
      </c>
      <c r="K104" s="34" t="n">
        <v>46283</v>
      </c>
      <c r="L104" s="32" t="inlineStr">
        <is>
          <t>Yes</t>
        </is>
      </c>
      <c r="M104" s="32">
        <f>IF(L104="Yes","A — in-place","B — vacant + laundry")</f>
        <v/>
      </c>
      <c r="N104" s="33">
        <f>IF(L104="Yes",Assumptions!$B$38,Assumptions!$B$49)</f>
        <v/>
      </c>
      <c r="O104" s="33">
        <f>IF(L104="Yes",Assumptions!$B$39,Assumptions!$B$50)</f>
        <v/>
      </c>
      <c r="P104" s="33">
        <f>G104+O104</f>
        <v/>
      </c>
    </row>
    <row r="105">
      <c r="A105" s="10" t="inlineStr">
        <is>
          <t>4025-F</t>
        </is>
      </c>
      <c r="B105" s="32" t="inlineStr">
        <is>
          <t>3/2.00</t>
        </is>
      </c>
      <c r="C105" s="10" t="inlineStr">
        <is>
          <t>Brunswick w/ WD</t>
        </is>
      </c>
      <c r="D105" s="21" t="n">
        <v>1590</v>
      </c>
      <c r="E105" s="10" t="inlineStr">
        <is>
          <t>Current</t>
        </is>
      </c>
      <c r="F105" s="32" t="inlineStr">
        <is>
          <t>Occupied</t>
        </is>
      </c>
      <c r="G105" s="33" t="n">
        <v>1600</v>
      </c>
      <c r="H105" s="33" t="n">
        <v>1581</v>
      </c>
      <c r="I105" s="33">
        <f>IF(F105="Vacant",0,H105-G105)</f>
        <v/>
      </c>
      <c r="J105" s="34" t="n">
        <v>46079</v>
      </c>
      <c r="K105" s="34" t="n">
        <v>46471</v>
      </c>
      <c r="L105" s="32" t="inlineStr">
        <is>
          <t>Yes</t>
        </is>
      </c>
      <c r="M105" s="32">
        <f>IF(L105="Yes","A — in-place","B — vacant + laundry")</f>
        <v/>
      </c>
      <c r="N105" s="33">
        <f>IF(L105="Yes",Assumptions!$B$38,Assumptions!$B$49)</f>
        <v/>
      </c>
      <c r="O105" s="33">
        <f>IF(L105="Yes",Assumptions!$B$39,Assumptions!$B$50)</f>
        <v/>
      </c>
      <c r="P105" s="33">
        <f>G105+O105</f>
        <v/>
      </c>
    </row>
    <row r="106">
      <c r="A106" s="10" t="inlineStr">
        <is>
          <t>4029-C</t>
        </is>
      </c>
      <c r="B106" s="32" t="inlineStr">
        <is>
          <t>3/2.00</t>
        </is>
      </c>
      <c r="C106" s="10" t="inlineStr">
        <is>
          <t>Brunswick w/ WD</t>
        </is>
      </c>
      <c r="D106" s="21" t="n">
        <v>1590</v>
      </c>
      <c r="E106" s="10" t="inlineStr">
        <is>
          <t>Current</t>
        </is>
      </c>
      <c r="F106" s="32" t="inlineStr">
        <is>
          <t>Occupied</t>
        </is>
      </c>
      <c r="G106" s="33" t="n">
        <v>1600</v>
      </c>
      <c r="H106" s="33" t="n">
        <v>1581</v>
      </c>
      <c r="I106" s="33">
        <f>IF(F106="Vacant",0,H106-G106)</f>
        <v/>
      </c>
      <c r="J106" s="34" t="n">
        <v>45955</v>
      </c>
      <c r="K106" s="34" t="n">
        <v>46319</v>
      </c>
      <c r="L106" s="32" t="inlineStr">
        <is>
          <t>Yes</t>
        </is>
      </c>
      <c r="M106" s="32">
        <f>IF(L106="Yes","A — in-place","B — vacant + laundry")</f>
        <v/>
      </c>
      <c r="N106" s="33">
        <f>IF(L106="Yes",Assumptions!$B$38,Assumptions!$B$49)</f>
        <v/>
      </c>
      <c r="O106" s="33">
        <f>IF(L106="Yes",Assumptions!$B$39,Assumptions!$B$50)</f>
        <v/>
      </c>
      <c r="P106" s="33">
        <f>G106+O106</f>
        <v/>
      </c>
    </row>
    <row r="107">
      <c r="A107" s="10" t="inlineStr">
        <is>
          <t>4029-E</t>
        </is>
      </c>
      <c r="B107" s="32" t="inlineStr">
        <is>
          <t>3/2.00</t>
        </is>
      </c>
      <c r="C107" s="10" t="inlineStr">
        <is>
          <t>Brunswick w/ WD</t>
        </is>
      </c>
      <c r="D107" s="21" t="n">
        <v>1590</v>
      </c>
      <c r="E107" s="10" t="inlineStr">
        <is>
          <t>Current</t>
        </is>
      </c>
      <c r="F107" s="32" t="inlineStr">
        <is>
          <t>Occupied</t>
        </is>
      </c>
      <c r="G107" s="33" t="n">
        <v>1600</v>
      </c>
      <c r="H107" s="33" t="n">
        <v>1569</v>
      </c>
      <c r="I107" s="33">
        <f>IF(F107="Vacant",0,H107-G107)</f>
        <v/>
      </c>
      <c r="J107" s="34" t="n">
        <v>43853</v>
      </c>
      <c r="K107" s="34" t="n">
        <v>46409</v>
      </c>
      <c r="L107" s="32" t="inlineStr">
        <is>
          <t>Yes</t>
        </is>
      </c>
      <c r="M107" s="32">
        <f>IF(L107="Yes","A — in-place","B — vacant + laundry")</f>
        <v/>
      </c>
      <c r="N107" s="33">
        <f>IF(L107="Yes",Assumptions!$B$38,Assumptions!$B$49)</f>
        <v/>
      </c>
      <c r="O107" s="33">
        <f>IF(L107="Yes",Assumptions!$B$39,Assumptions!$B$50)</f>
        <v/>
      </c>
      <c r="P107" s="33">
        <f>G107+O107</f>
        <v/>
      </c>
    </row>
    <row r="108">
      <c r="A108" s="10" t="inlineStr">
        <is>
          <t>4033-B</t>
        </is>
      </c>
      <c r="B108" s="32" t="inlineStr">
        <is>
          <t>3/2.00</t>
        </is>
      </c>
      <c r="C108" s="10" t="inlineStr">
        <is>
          <t>Brunswick w/ WD</t>
        </is>
      </c>
      <c r="D108" s="21" t="n">
        <v>1590</v>
      </c>
      <c r="E108" s="10" t="inlineStr">
        <is>
          <t>Current</t>
        </is>
      </c>
      <c r="F108" s="32" t="inlineStr">
        <is>
          <t>Occupied</t>
        </is>
      </c>
      <c r="G108" s="33" t="n">
        <v>1600</v>
      </c>
      <c r="H108" s="33" t="n">
        <v>1524</v>
      </c>
      <c r="I108" s="33">
        <f>IF(F108="Vacant",0,H108-G108)</f>
        <v/>
      </c>
      <c r="J108" s="34" t="n">
        <v>44802</v>
      </c>
      <c r="K108" s="34" t="n">
        <v>46262</v>
      </c>
      <c r="L108" s="32" t="inlineStr">
        <is>
          <t>Yes</t>
        </is>
      </c>
      <c r="M108" s="32">
        <f>IF(L108="Yes","A — in-place","B — vacant + laundry")</f>
        <v/>
      </c>
      <c r="N108" s="33">
        <f>IF(L108="Yes",Assumptions!$B$38,Assumptions!$B$49)</f>
        <v/>
      </c>
      <c r="O108" s="33">
        <f>IF(L108="Yes",Assumptions!$B$39,Assumptions!$B$50)</f>
        <v/>
      </c>
      <c r="P108" s="33">
        <f>G108+O108</f>
        <v/>
      </c>
    </row>
    <row r="109">
      <c r="A109" s="10" t="inlineStr">
        <is>
          <t>4033-D</t>
        </is>
      </c>
      <c r="B109" s="32" t="inlineStr">
        <is>
          <t>3/2.00</t>
        </is>
      </c>
      <c r="C109" s="10" t="inlineStr">
        <is>
          <t>Brunswick w/ WD</t>
        </is>
      </c>
      <c r="D109" s="21" t="n">
        <v>1590</v>
      </c>
      <c r="E109" s="10" t="inlineStr">
        <is>
          <t>Current</t>
        </is>
      </c>
      <c r="F109" s="32" t="inlineStr">
        <is>
          <t>Occupied</t>
        </is>
      </c>
      <c r="G109" s="33" t="n">
        <v>1600</v>
      </c>
      <c r="H109" s="33" t="n">
        <v>1557</v>
      </c>
      <c r="I109" s="33">
        <f>IF(F109="Vacant",0,H109-G109)</f>
        <v/>
      </c>
      <c r="J109" s="34" t="n">
        <v>45436</v>
      </c>
      <c r="K109" s="34" t="n">
        <v>46530</v>
      </c>
      <c r="L109" s="32" t="inlineStr">
        <is>
          <t>Yes</t>
        </is>
      </c>
      <c r="M109" s="32">
        <f>IF(L109="Yes","A — in-place","B — vacant + laundry")</f>
        <v/>
      </c>
      <c r="N109" s="33">
        <f>IF(L109="Yes",Assumptions!$B$38,Assumptions!$B$49)</f>
        <v/>
      </c>
      <c r="O109" s="33">
        <f>IF(L109="Yes",Assumptions!$B$39,Assumptions!$B$50)</f>
        <v/>
      </c>
      <c r="P109" s="33">
        <f>G109+O109</f>
        <v/>
      </c>
    </row>
    <row r="110">
      <c r="A110" s="10" t="inlineStr">
        <is>
          <t>4034-A</t>
        </is>
      </c>
      <c r="B110" s="32" t="inlineStr">
        <is>
          <t>3/2.00</t>
        </is>
      </c>
      <c r="C110" s="10" t="inlineStr">
        <is>
          <t>Brunswick w/ WD</t>
        </is>
      </c>
      <c r="D110" s="21" t="n">
        <v>1590</v>
      </c>
      <c r="E110" s="10" t="inlineStr">
        <is>
          <t>Current</t>
        </is>
      </c>
      <c r="F110" s="32" t="inlineStr">
        <is>
          <t>Occupied</t>
        </is>
      </c>
      <c r="G110" s="33" t="n">
        <v>1600</v>
      </c>
      <c r="H110" s="33" t="n">
        <v>1581</v>
      </c>
      <c r="I110" s="33">
        <f>IF(F110="Vacant",0,H110-G110)</f>
        <v/>
      </c>
      <c r="J110" s="34" t="n">
        <v>45653</v>
      </c>
      <c r="K110" s="34" t="n">
        <v>46382</v>
      </c>
      <c r="L110" s="32" t="inlineStr">
        <is>
          <t>Yes</t>
        </is>
      </c>
      <c r="M110" s="32">
        <f>IF(L110="Yes","A — in-place","B — vacant + laundry")</f>
        <v/>
      </c>
      <c r="N110" s="33">
        <f>IF(L110="Yes",Assumptions!$B$38,Assumptions!$B$49)</f>
        <v/>
      </c>
      <c r="O110" s="33">
        <f>IF(L110="Yes",Assumptions!$B$39,Assumptions!$B$50)</f>
        <v/>
      </c>
      <c r="P110" s="33">
        <f>G110+O110</f>
        <v/>
      </c>
    </row>
    <row r="111">
      <c r="A111" s="10" t="inlineStr">
        <is>
          <t>4034-C</t>
        </is>
      </c>
      <c r="B111" s="32" t="inlineStr">
        <is>
          <t>3/2.00</t>
        </is>
      </c>
      <c r="C111" s="10" t="inlineStr">
        <is>
          <t>Brunswick w/ WD</t>
        </is>
      </c>
      <c r="D111" s="21" t="n">
        <v>1590</v>
      </c>
      <c r="E111" s="10" t="inlineStr">
        <is>
          <t>Current</t>
        </is>
      </c>
      <c r="F111" s="32" t="inlineStr">
        <is>
          <t>Occupied</t>
        </is>
      </c>
      <c r="G111" s="33" t="n">
        <v>1600</v>
      </c>
      <c r="H111" s="33" t="n">
        <v>1565</v>
      </c>
      <c r="I111" s="33">
        <f>IF(F111="Vacant",0,H111-G111)</f>
        <v/>
      </c>
      <c r="J111" s="34" t="n">
        <v>45085</v>
      </c>
      <c r="K111" s="34" t="n">
        <v>46545</v>
      </c>
      <c r="L111" s="32" t="inlineStr">
        <is>
          <t>Yes</t>
        </is>
      </c>
      <c r="M111" s="32">
        <f>IF(L111="Yes","A — in-place","B — vacant + laundry")</f>
        <v/>
      </c>
      <c r="N111" s="33">
        <f>IF(L111="Yes",Assumptions!$B$38,Assumptions!$B$49)</f>
        <v/>
      </c>
      <c r="O111" s="33">
        <f>IF(L111="Yes",Assumptions!$B$39,Assumptions!$B$50)</f>
        <v/>
      </c>
      <c r="P111" s="33">
        <f>G111+O111</f>
        <v/>
      </c>
    </row>
    <row r="112">
      <c r="A112" s="10" t="inlineStr">
        <is>
          <t>4034-E</t>
        </is>
      </c>
      <c r="B112" s="32" t="inlineStr">
        <is>
          <t>3/2.00</t>
        </is>
      </c>
      <c r="C112" s="10" t="inlineStr">
        <is>
          <t>Brunswick w/ WD</t>
        </is>
      </c>
      <c r="D112" s="21" t="n">
        <v>1590</v>
      </c>
      <c r="E112" s="10" t="inlineStr">
        <is>
          <t>Current</t>
        </is>
      </c>
      <c r="F112" s="32" t="inlineStr">
        <is>
          <t>Occupied</t>
        </is>
      </c>
      <c r="G112" s="33" t="n">
        <v>1600</v>
      </c>
      <c r="H112" s="33" t="n">
        <v>1581</v>
      </c>
      <c r="I112" s="33">
        <f>IF(F112="Vacant",0,H112-G112)</f>
        <v/>
      </c>
      <c r="J112" s="34" t="n">
        <v>39255</v>
      </c>
      <c r="K112" s="34" t="n"/>
      <c r="L112" s="32" t="inlineStr">
        <is>
          <t>Yes</t>
        </is>
      </c>
      <c r="M112" s="32">
        <f>IF(L112="Yes","A — in-place","B — vacant + laundry")</f>
        <v/>
      </c>
      <c r="N112" s="33">
        <f>IF(L112="Yes",Assumptions!$B$38,Assumptions!$B$49)</f>
        <v/>
      </c>
      <c r="O112" s="33">
        <f>IF(L112="Yes",Assumptions!$B$39,Assumptions!$B$50)</f>
        <v/>
      </c>
      <c r="P112" s="33">
        <f>G112+O112</f>
        <v/>
      </c>
    </row>
    <row r="113">
      <c r="A113" s="10" t="inlineStr">
        <is>
          <t>4037-A</t>
        </is>
      </c>
      <c r="B113" s="32" t="inlineStr">
        <is>
          <t>3/2.00</t>
        </is>
      </c>
      <c r="C113" s="10" t="inlineStr">
        <is>
          <t>Brunswick w/ WD</t>
        </is>
      </c>
      <c r="D113" s="21" t="n">
        <v>1590</v>
      </c>
      <c r="E113" s="10" t="inlineStr">
        <is>
          <t>Current</t>
        </is>
      </c>
      <c r="F113" s="32" t="inlineStr">
        <is>
          <t>Occupied</t>
        </is>
      </c>
      <c r="G113" s="33" t="n">
        <v>1600</v>
      </c>
      <c r="H113" s="33" t="n">
        <v>1569</v>
      </c>
      <c r="I113" s="33">
        <f>IF(F113="Vacant",0,H113-G113)</f>
        <v/>
      </c>
      <c r="J113" s="34" t="n">
        <v>43982</v>
      </c>
      <c r="K113" s="34" t="n">
        <v>46418</v>
      </c>
      <c r="L113" s="32" t="inlineStr">
        <is>
          <t>Yes</t>
        </is>
      </c>
      <c r="M113" s="32">
        <f>IF(L113="Yes","A — in-place","B — vacant + laundry")</f>
        <v/>
      </c>
      <c r="N113" s="33">
        <f>IF(L113="Yes",Assumptions!$B$38,Assumptions!$B$49)</f>
        <v/>
      </c>
      <c r="O113" s="33">
        <f>IF(L113="Yes",Assumptions!$B$39,Assumptions!$B$50)</f>
        <v/>
      </c>
      <c r="P113" s="33">
        <f>G113+O113</f>
        <v/>
      </c>
    </row>
    <row r="114">
      <c r="A114" s="10" t="inlineStr">
        <is>
          <t>4037-C</t>
        </is>
      </c>
      <c r="B114" s="32" t="inlineStr">
        <is>
          <t>3/2.00</t>
        </is>
      </c>
      <c r="C114" s="10" t="inlineStr">
        <is>
          <t>Brunswick w/ WD</t>
        </is>
      </c>
      <c r="D114" s="21" t="n">
        <v>1590</v>
      </c>
      <c r="E114" s="10" t="inlineStr">
        <is>
          <t>Current</t>
        </is>
      </c>
      <c r="F114" s="32" t="inlineStr">
        <is>
          <t>Occupied</t>
        </is>
      </c>
      <c r="G114" s="33" t="n">
        <v>1600</v>
      </c>
      <c r="H114" s="33" t="n">
        <v>1581</v>
      </c>
      <c r="I114" s="33">
        <f>IF(F114="Vacant",0,H114-G114)</f>
        <v/>
      </c>
      <c r="J114" s="34" t="n">
        <v>45997</v>
      </c>
      <c r="K114" s="34" t="n">
        <v>46361</v>
      </c>
      <c r="L114" s="32" t="inlineStr">
        <is>
          <t>Yes</t>
        </is>
      </c>
      <c r="M114" s="32">
        <f>IF(L114="Yes","A — in-place","B — vacant + laundry")</f>
        <v/>
      </c>
      <c r="N114" s="33">
        <f>IF(L114="Yes",Assumptions!$B$38,Assumptions!$B$49)</f>
        <v/>
      </c>
      <c r="O114" s="33">
        <f>IF(L114="Yes",Assumptions!$B$39,Assumptions!$B$50)</f>
        <v/>
      </c>
      <c r="P114" s="33">
        <f>G114+O114</f>
        <v/>
      </c>
    </row>
    <row r="115">
      <c r="A115" s="10" t="inlineStr">
        <is>
          <t>4037-E</t>
        </is>
      </c>
      <c r="B115" s="32" t="inlineStr">
        <is>
          <t>3/2.00</t>
        </is>
      </c>
      <c r="C115" s="10" t="inlineStr">
        <is>
          <t>Brunswick w/ WD</t>
        </is>
      </c>
      <c r="D115" s="21" t="n">
        <v>1590</v>
      </c>
      <c r="E115" s="10" t="inlineStr">
        <is>
          <t>Current</t>
        </is>
      </c>
      <c r="F115" s="32" t="inlineStr">
        <is>
          <t>Occupied</t>
        </is>
      </c>
      <c r="G115" s="33" t="n">
        <v>1600</v>
      </c>
      <c r="H115" s="33" t="n">
        <v>1581</v>
      </c>
      <c r="I115" s="33">
        <f>IF(F115="Vacant",0,H115-G115)</f>
        <v/>
      </c>
      <c r="J115" s="34" t="n">
        <v>46127</v>
      </c>
      <c r="K115" s="34" t="n">
        <v>46521</v>
      </c>
      <c r="L115" s="32" t="inlineStr">
        <is>
          <t>Yes</t>
        </is>
      </c>
      <c r="M115" s="32">
        <f>IF(L115="Yes","A — in-place","B — vacant + laundry")</f>
        <v/>
      </c>
      <c r="N115" s="33">
        <f>IF(L115="Yes",Assumptions!$B$38,Assumptions!$B$49)</f>
        <v/>
      </c>
      <c r="O115" s="33">
        <f>IF(L115="Yes",Assumptions!$B$39,Assumptions!$B$50)</f>
        <v/>
      </c>
      <c r="P115" s="33">
        <f>G115+O115</f>
        <v/>
      </c>
    </row>
    <row r="116">
      <c r="A116" s="10" t="inlineStr">
        <is>
          <t>4038-B</t>
        </is>
      </c>
      <c r="B116" s="32" t="inlineStr">
        <is>
          <t>3/2.00</t>
        </is>
      </c>
      <c r="C116" s="10" t="inlineStr">
        <is>
          <t>Brunswick w/ WD</t>
        </is>
      </c>
      <c r="D116" s="21" t="n">
        <v>1590</v>
      </c>
      <c r="E116" s="10" t="inlineStr">
        <is>
          <t>Current</t>
        </is>
      </c>
      <c r="F116" s="32" t="inlineStr">
        <is>
          <t>Occupied</t>
        </is>
      </c>
      <c r="G116" s="33" t="n">
        <v>1600</v>
      </c>
      <c r="H116" s="33" t="n">
        <v>1549</v>
      </c>
      <c r="I116" s="33">
        <f>IF(F116="Vacant",0,H116-G116)</f>
        <v/>
      </c>
      <c r="J116" s="34" t="n">
        <v>44681</v>
      </c>
      <c r="K116" s="34" t="n">
        <v>46506</v>
      </c>
      <c r="L116" s="32" t="inlineStr">
        <is>
          <t>Yes</t>
        </is>
      </c>
      <c r="M116" s="32">
        <f>IF(L116="Yes","A — in-place","B — vacant + laundry")</f>
        <v/>
      </c>
      <c r="N116" s="33">
        <f>IF(L116="Yes",Assumptions!$B$38,Assumptions!$B$49)</f>
        <v/>
      </c>
      <c r="O116" s="33">
        <f>IF(L116="Yes",Assumptions!$B$39,Assumptions!$B$50)</f>
        <v/>
      </c>
      <c r="P116" s="33">
        <f>G116+O116</f>
        <v/>
      </c>
    </row>
    <row r="117">
      <c r="A117" s="10" t="inlineStr">
        <is>
          <t>4038-D</t>
        </is>
      </c>
      <c r="B117" s="32" t="inlineStr">
        <is>
          <t>3/2.00</t>
        </is>
      </c>
      <c r="C117" s="10" t="inlineStr">
        <is>
          <t>Brunswick w/ WD</t>
        </is>
      </c>
      <c r="D117" s="21" t="n">
        <v>1590</v>
      </c>
      <c r="E117" s="10" t="inlineStr">
        <is>
          <t>Current</t>
        </is>
      </c>
      <c r="F117" s="32" t="inlineStr">
        <is>
          <t>Occupied</t>
        </is>
      </c>
      <c r="G117" s="33" t="n">
        <v>1600</v>
      </c>
      <c r="H117" s="33" t="n">
        <v>1557</v>
      </c>
      <c r="I117" s="33">
        <f>IF(F117="Vacant",0,H117-G117)</f>
        <v/>
      </c>
      <c r="J117" s="34" t="n">
        <v>45730</v>
      </c>
      <c r="K117" s="34" t="n">
        <v>46459</v>
      </c>
      <c r="L117" s="32" t="inlineStr">
        <is>
          <t>Yes</t>
        </is>
      </c>
      <c r="M117" s="32">
        <f>IF(L117="Yes","A — in-place","B — vacant + laundry")</f>
        <v/>
      </c>
      <c r="N117" s="33">
        <f>IF(L117="Yes",Assumptions!$B$38,Assumptions!$B$49)</f>
        <v/>
      </c>
      <c r="O117" s="33">
        <f>IF(L117="Yes",Assumptions!$B$39,Assumptions!$B$50)</f>
        <v/>
      </c>
      <c r="P117" s="33">
        <f>G117+O117</f>
        <v/>
      </c>
    </row>
    <row r="118">
      <c r="A118" s="10" t="inlineStr">
        <is>
          <t>4038-F</t>
        </is>
      </c>
      <c r="B118" s="32" t="inlineStr">
        <is>
          <t>3/2.00</t>
        </is>
      </c>
      <c r="C118" s="10" t="inlineStr">
        <is>
          <t>Brunswick w/ WD</t>
        </is>
      </c>
      <c r="D118" s="21" t="n">
        <v>1590</v>
      </c>
      <c r="E118" s="10" t="inlineStr">
        <is>
          <t>Current</t>
        </is>
      </c>
      <c r="F118" s="32" t="inlineStr">
        <is>
          <t>Occupied</t>
        </is>
      </c>
      <c r="G118" s="33" t="n">
        <v>1600</v>
      </c>
      <c r="H118" s="33" t="n">
        <v>1524</v>
      </c>
      <c r="I118" s="33">
        <f>IF(F118="Vacant",0,H118-G118)</f>
        <v/>
      </c>
      <c r="J118" s="34" t="n">
        <v>45170</v>
      </c>
      <c r="K118" s="34" t="n">
        <v>46265</v>
      </c>
      <c r="L118" s="32" t="inlineStr">
        <is>
          <t>Yes</t>
        </is>
      </c>
      <c r="M118" s="32">
        <f>IF(L118="Yes","A — in-place","B — vacant + laundry")</f>
        <v/>
      </c>
      <c r="N118" s="33">
        <f>IF(L118="Yes",Assumptions!$B$38,Assumptions!$B$49)</f>
        <v/>
      </c>
      <c r="O118" s="33">
        <f>IF(L118="Yes",Assumptions!$B$39,Assumptions!$B$50)</f>
        <v/>
      </c>
      <c r="P118" s="33">
        <f>G118+O118</f>
        <v/>
      </c>
    </row>
    <row r="119">
      <c r="A119" s="10" t="inlineStr">
        <is>
          <t>4002-E</t>
        </is>
      </c>
      <c r="B119" s="32" t="inlineStr">
        <is>
          <t>3/2.00</t>
        </is>
      </c>
      <c r="C119" s="10" t="inlineStr">
        <is>
          <t>Brunswick w/ WD</t>
        </is>
      </c>
      <c r="D119" s="21" t="n">
        <v>1590</v>
      </c>
      <c r="E119" s="10" t="inlineStr">
        <is>
          <t>Evict</t>
        </is>
      </c>
      <c r="F119" s="32" t="inlineStr">
        <is>
          <t>Occupied</t>
        </is>
      </c>
      <c r="G119" s="33" t="n">
        <v>1600</v>
      </c>
      <c r="H119" s="33" t="n">
        <v>1499</v>
      </c>
      <c r="I119" s="33">
        <f>IF(F119="Vacant",0,H119-G119)</f>
        <v/>
      </c>
      <c r="J119" s="34" t="n">
        <v>45990</v>
      </c>
      <c r="K119" s="34" t="n">
        <v>46384</v>
      </c>
      <c r="L119" s="32" t="inlineStr">
        <is>
          <t>Yes</t>
        </is>
      </c>
      <c r="M119" s="32">
        <f>IF(L119="Yes","A — in-place","B — vacant + laundry")</f>
        <v/>
      </c>
      <c r="N119" s="33">
        <f>IF(L119="Yes",Assumptions!$B$38,Assumptions!$B$49)</f>
        <v/>
      </c>
      <c r="O119" s="33">
        <f>IF(L119="Yes",Assumptions!$B$39,Assumptions!$B$50)</f>
        <v/>
      </c>
      <c r="P119" s="33">
        <f>G119+O119</f>
        <v/>
      </c>
    </row>
    <row r="120">
      <c r="A120" s="10" t="inlineStr">
        <is>
          <t>4029-A</t>
        </is>
      </c>
      <c r="B120" s="32" t="inlineStr">
        <is>
          <t>3/2.00</t>
        </is>
      </c>
      <c r="C120" s="10" t="inlineStr">
        <is>
          <t>Brunswick w/ WD</t>
        </is>
      </c>
      <c r="D120" s="21" t="n">
        <v>1590</v>
      </c>
      <c r="E120" s="10" t="inlineStr">
        <is>
          <t>Evict</t>
        </is>
      </c>
      <c r="F120" s="32" t="inlineStr">
        <is>
          <t>Occupied</t>
        </is>
      </c>
      <c r="G120" s="33" t="n">
        <v>1600</v>
      </c>
      <c r="H120" s="33" t="n">
        <v>1559</v>
      </c>
      <c r="I120" s="33">
        <f>IF(F120="Vacant",0,H120-G120)</f>
        <v/>
      </c>
      <c r="J120" s="34" t="n">
        <v>45261</v>
      </c>
      <c r="K120" s="34" t="n">
        <v>46356</v>
      </c>
      <c r="L120" s="32" t="inlineStr">
        <is>
          <t>Yes</t>
        </is>
      </c>
      <c r="M120" s="32">
        <f>IF(L120="Yes","A — in-place","B — vacant + laundry")</f>
        <v/>
      </c>
      <c r="N120" s="33">
        <f>IF(L120="Yes",Assumptions!$B$38,Assumptions!$B$49)</f>
        <v/>
      </c>
      <c r="O120" s="33">
        <f>IF(L120="Yes",Assumptions!$B$39,Assumptions!$B$50)</f>
        <v/>
      </c>
      <c r="P120" s="33">
        <f>G120+O120</f>
        <v/>
      </c>
    </row>
    <row r="121">
      <c r="A121" s="10" t="inlineStr">
        <is>
          <t>4002-C</t>
        </is>
      </c>
      <c r="B121" s="32" t="inlineStr">
        <is>
          <t>3/2.00</t>
        </is>
      </c>
      <c r="C121" s="10" t="inlineStr">
        <is>
          <t>Brunswick w/ WD</t>
        </is>
      </c>
      <c r="D121" s="21" t="n">
        <v>1590</v>
      </c>
      <c r="E121" s="10" t="inlineStr">
        <is>
          <t>Notice-Unrented</t>
        </is>
      </c>
      <c r="F121" s="32" t="inlineStr">
        <is>
          <t>Occupied</t>
        </is>
      </c>
      <c r="G121" s="33" t="n">
        <v>1600</v>
      </c>
      <c r="H121" s="33" t="n">
        <v>1561</v>
      </c>
      <c r="I121" s="33">
        <f>IF(F121="Vacant",0,H121-G121)</f>
        <v/>
      </c>
      <c r="J121" s="34" t="n">
        <v>45120</v>
      </c>
      <c r="K121" s="34" t="n">
        <v>46215</v>
      </c>
      <c r="L121" s="32" t="inlineStr">
        <is>
          <t>Yes</t>
        </is>
      </c>
      <c r="M121" s="32">
        <f>IF(L121="Yes","A — in-place","B — vacant + laundry")</f>
        <v/>
      </c>
      <c r="N121" s="33">
        <f>IF(L121="Yes",Assumptions!$B$38,Assumptions!$B$49)</f>
        <v/>
      </c>
      <c r="O121" s="33">
        <f>IF(L121="Yes",Assumptions!$B$39,Assumptions!$B$50)</f>
        <v/>
      </c>
      <c r="P121" s="33">
        <f>G121+O121</f>
        <v/>
      </c>
    </row>
    <row r="122">
      <c r="A122" s="10" t="inlineStr">
        <is>
          <t>4005-A</t>
        </is>
      </c>
      <c r="B122" s="32" t="inlineStr">
        <is>
          <t>3/2.00</t>
        </is>
      </c>
      <c r="C122" s="10" t="inlineStr">
        <is>
          <t>Brunswick w/ WD</t>
        </is>
      </c>
      <c r="D122" s="21" t="n">
        <v>1590</v>
      </c>
      <c r="E122" s="10" t="inlineStr">
        <is>
          <t>Notice-Unrented</t>
        </is>
      </c>
      <c r="F122" s="32" t="inlineStr">
        <is>
          <t>Occupied</t>
        </is>
      </c>
      <c r="G122" s="33" t="n">
        <v>1600</v>
      </c>
      <c r="H122" s="33" t="n">
        <v>1565</v>
      </c>
      <c r="I122" s="33">
        <f>IF(F122="Vacant",0,H122-G122)</f>
        <v/>
      </c>
      <c r="J122" s="34" t="n">
        <v>45450</v>
      </c>
      <c r="K122" s="34" t="n">
        <v>46179</v>
      </c>
      <c r="L122" s="32" t="inlineStr">
        <is>
          <t>Yes</t>
        </is>
      </c>
      <c r="M122" s="32">
        <f>IF(L122="Yes","A — in-place","B — vacant + laundry")</f>
        <v/>
      </c>
      <c r="N122" s="33">
        <f>IF(L122="Yes",Assumptions!$B$38,Assumptions!$B$49)</f>
        <v/>
      </c>
      <c r="O122" s="33">
        <f>IF(L122="Yes",Assumptions!$B$39,Assumptions!$B$50)</f>
        <v/>
      </c>
      <c r="P122" s="33">
        <f>G122+O122</f>
        <v/>
      </c>
    </row>
    <row r="123">
      <c r="A123" s="10" t="inlineStr">
        <is>
          <t>4033-F</t>
        </is>
      </c>
      <c r="B123" s="32" t="inlineStr">
        <is>
          <t>3/2.00</t>
        </is>
      </c>
      <c r="C123" s="10" t="inlineStr">
        <is>
          <t>Brunswick w/ WD</t>
        </is>
      </c>
      <c r="D123" s="21" t="n">
        <v>1590</v>
      </c>
      <c r="E123" s="10" t="inlineStr">
        <is>
          <t>Vacant-Unrented</t>
        </is>
      </c>
      <c r="F123" s="35" t="inlineStr">
        <is>
          <t>Vacant</t>
        </is>
      </c>
      <c r="G123" s="33" t="n">
        <v>1600</v>
      </c>
      <c r="H123" s="33" t="n"/>
      <c r="I123" s="33">
        <f>IF(F123="Vacant",0,H123-G123)</f>
        <v/>
      </c>
      <c r="J123" s="34" t="n"/>
      <c r="K123" s="34" t="n"/>
      <c r="L123" s="32" t="inlineStr">
        <is>
          <t>Yes</t>
        </is>
      </c>
      <c r="M123" s="32">
        <f>IF(L123="Yes","A — in-place","B — vacant + laundry")</f>
        <v/>
      </c>
      <c r="N123" s="33">
        <f>IF(L123="Yes",Assumptions!$B$38,Assumptions!$B$49)</f>
        <v/>
      </c>
      <c r="O123" s="33">
        <f>IF(L123="Yes",Assumptions!$B$39,Assumptions!$B$50)</f>
        <v/>
      </c>
      <c r="P123" s="33">
        <f>G123+O123</f>
        <v/>
      </c>
    </row>
    <row r="124">
      <c r="A124" s="36" t="inlineStr">
        <is>
          <t>Total / Average — 118 Units</t>
        </is>
      </c>
      <c r="D124" s="37">
        <f>SUM(D6:D123)</f>
        <v/>
      </c>
      <c r="F124" s="38">
        <f>COUNTIF(F6:F123,"Occupied")&amp;" occ"</f>
        <v/>
      </c>
      <c r="G124" s="39">
        <f>SUM(G6:G123)</f>
        <v/>
      </c>
      <c r="H124" s="39">
        <f>SUM(H6:H123)</f>
        <v/>
      </c>
      <c r="I124" s="39">
        <f>SUM(I6:I123)</f>
        <v/>
      </c>
      <c r="L124" s="38">
        <f>COUNTIF(L6:L123,"Yes")&amp;" w/ W/D"</f>
        <v/>
      </c>
      <c r="N124" s="39">
        <f>SUM(N6:N123)</f>
        <v/>
      </c>
      <c r="O124" s="39">
        <f>SUM(O6:O123)</f>
        <v/>
      </c>
      <c r="P124" s="39">
        <f>SUM(P6:P123)</f>
        <v/>
      </c>
    </row>
    <row r="126">
      <c r="A126" s="40" t="inlineStr">
        <is>
          <t>Case status rules applied: 'Notice-Unrented' and 'Evict' are treated as Occupied; any variation of 'Vacant' is treated as Vacant. Source: rent roll export dated 07/01/2026.</t>
        </is>
      </c>
    </row>
    <row r="127">
      <c r="A127" s="40" t="inlineStr">
        <is>
          <t>In-unit washer/dryer is taken from the rent roll unit-type description ('w/ WD'), which the OM's own floor-plan and building-mix schedules corroborate at 53 units. Per the data hierarchy the rent roll governs over the OM's conflicting '78 of 118' statement.</t>
        </is>
      </c>
    </row>
  </sheetData>
  <mergeCells count="2">
    <mergeCell ref="A127:P127"/>
    <mergeCell ref="A126:P126"/>
  </mergeCells>
  <printOptions horizontalCentered="0"/>
  <pageMargins left="0.4" right="0.4"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Q2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8" customWidth="1" min="4" max="4"/>
    <col width="8" customWidth="1" min="5" max="5"/>
    <col width="10" customWidth="1" min="6" max="6"/>
    <col width="9" customWidth="1" min="7" max="7"/>
    <col width="8" customWidth="1" min="8" max="8"/>
    <col width="11" customWidth="1" min="9" max="9"/>
    <col width="11" customWidth="1" min="10" max="10"/>
    <col width="12" customWidth="1" min="11" max="11"/>
    <col width="12" customWidth="1" min="12" max="12"/>
    <col width="10" customWidth="1" min="13" max="13"/>
    <col width="11" customWidth="1" min="14" max="14"/>
    <col width="11" customWidth="1" min="15" max="15"/>
    <col width="12" customWidth="1" min="16" max="16"/>
    <col width="11" customWidth="1" min="17" max="17"/>
  </cols>
  <sheetData>
    <row r="1">
      <c r="A1" s="1" t="inlineStr">
        <is>
          <t>CHATEAU IN THE WOODS  |  4020 Monaco Drive, Indianapolis, IN 46220  |  118 Units</t>
        </is>
      </c>
    </row>
    <row r="2">
      <c r="A2" s="2" t="inlineStr">
        <is>
          <t>Floor Plan Mix, Renovation Scope and Renovated Rents (rent roll 07/01/2026)</t>
        </is>
      </c>
    </row>
    <row r="3">
      <c r="A3" s="3" t="inlineStr">
        <is>
          <t>Blue = hardcoded input / lever   ·   Black = formula   ·   Green = link to another sheet   ·   Yellow fill = key assumption</t>
        </is>
      </c>
    </row>
    <row r="5" ht="32" customHeight="1">
      <c r="A5" s="31" t="inlineStr">
        <is>
          <t>Floor Plan</t>
        </is>
      </c>
      <c r="B5" s="31" t="inlineStr">
        <is>
          <t>Type</t>
        </is>
      </c>
      <c r="C5" s="31" t="inlineStr">
        <is>
          <t>Units</t>
        </is>
      </c>
      <c r="D5" s="31" t="inlineStr">
        <is>
          <t>% of
Total</t>
        </is>
      </c>
      <c r="E5" s="31" t="inlineStr">
        <is>
          <t>SF /
Unit</t>
        </is>
      </c>
      <c r="F5" s="31" t="inlineStr">
        <is>
          <t>Total SF</t>
        </is>
      </c>
      <c r="G5" s="31" t="inlineStr">
        <is>
          <t>In-Unit
W/D</t>
        </is>
      </c>
      <c r="H5" s="31" t="inlineStr">
        <is>
          <t>Occ.
Units</t>
        </is>
      </c>
      <c r="I5" s="31" t="inlineStr">
        <is>
          <t>Market
Rent</t>
        </is>
      </c>
      <c r="J5" s="31" t="inlineStr">
        <is>
          <t>Market
Rent PSF</t>
        </is>
      </c>
      <c r="K5" s="31" t="inlineStr">
        <is>
          <t>In-Place
Rent (occ)</t>
        </is>
      </c>
      <c r="L5" s="31" t="inlineStr">
        <is>
          <t>Avg In-Place
Rent</t>
        </is>
      </c>
      <c r="M5" s="31" t="inlineStr">
        <is>
          <t>Loss to
Lease</t>
        </is>
      </c>
      <c r="N5" s="31" t="inlineStr">
        <is>
          <t>Reno Cost
/ Unit</t>
        </is>
      </c>
      <c r="O5" s="31" t="inlineStr">
        <is>
          <t>Reno Prem.
/ Month</t>
        </is>
      </c>
      <c r="P5" s="31" t="inlineStr">
        <is>
          <t>Renovated
Mkt Rent</t>
        </is>
      </c>
      <c r="Q5" s="31" t="inlineStr">
        <is>
          <t>Renov.
Rent PSF</t>
        </is>
      </c>
    </row>
    <row r="6">
      <c r="A6" s="10" t="inlineStr">
        <is>
          <t>Abbey</t>
        </is>
      </c>
      <c r="B6" s="32" t="inlineStr">
        <is>
          <t>1/1</t>
        </is>
      </c>
      <c r="C6" s="18" t="n">
        <v>15</v>
      </c>
      <c r="D6" s="41">
        <f>C6/$C$13</f>
        <v/>
      </c>
      <c r="E6" s="18" t="n">
        <v>712</v>
      </c>
      <c r="F6" s="42">
        <f>C6*E6</f>
        <v/>
      </c>
      <c r="G6" s="43" t="inlineStr">
        <is>
          <t>No</t>
        </is>
      </c>
      <c r="H6" s="18" t="n">
        <v>15</v>
      </c>
      <c r="I6" s="44" t="n">
        <v>1050</v>
      </c>
      <c r="J6" s="45">
        <f>I6/E6</f>
        <v/>
      </c>
      <c r="K6" s="44" t="n">
        <v>15618</v>
      </c>
      <c r="L6" s="33">
        <f>IF(H6=0,0,K6/H6)</f>
        <v/>
      </c>
      <c r="M6" s="41">
        <f>IF(H6=0,0,L6/I6-1)</f>
        <v/>
      </c>
      <c r="N6" s="33">
        <f>IF(G6="Yes",Assumptions!$B$38,Assumptions!$B$49)</f>
        <v/>
      </c>
      <c r="O6" s="33">
        <f>IF(G6="Yes",Assumptions!$B$39,Assumptions!$B$50)</f>
        <v/>
      </c>
      <c r="P6" s="46">
        <f>I6+O6</f>
        <v/>
      </c>
      <c r="Q6" s="45">
        <f>P6/E6</f>
        <v/>
      </c>
    </row>
    <row r="7">
      <c r="A7" s="10" t="inlineStr">
        <is>
          <t>Rhone w/ WD</t>
        </is>
      </c>
      <c r="B7" s="32" t="inlineStr">
        <is>
          <t>1/1</t>
        </is>
      </c>
      <c r="C7" s="18" t="n">
        <v>15</v>
      </c>
      <c r="D7" s="41">
        <f>C7/$C$13</f>
        <v/>
      </c>
      <c r="E7" s="18" t="n">
        <v>712</v>
      </c>
      <c r="F7" s="42">
        <f>C7*E7</f>
        <v/>
      </c>
      <c r="G7" s="43" t="inlineStr">
        <is>
          <t>Yes</t>
        </is>
      </c>
      <c r="H7" s="18" t="n">
        <v>15</v>
      </c>
      <c r="I7" s="44" t="n">
        <v>1125</v>
      </c>
      <c r="J7" s="45">
        <f>I7/E7</f>
        <v/>
      </c>
      <c r="K7" s="44" t="n">
        <v>16385</v>
      </c>
      <c r="L7" s="33">
        <f>IF(H7=0,0,K7/H7)</f>
        <v/>
      </c>
      <c r="M7" s="41">
        <f>IF(H7=0,0,L7/I7-1)</f>
        <v/>
      </c>
      <c r="N7" s="33">
        <f>IF(G7="Yes",Assumptions!$B$38,Assumptions!$B$49)</f>
        <v/>
      </c>
      <c r="O7" s="33">
        <f>IF(G7="Yes",Assumptions!$B$39,Assumptions!$B$50)</f>
        <v/>
      </c>
      <c r="P7" s="46">
        <f>I7+O7</f>
        <v/>
      </c>
      <c r="Q7" s="45">
        <f>P7/E7</f>
        <v/>
      </c>
    </row>
    <row r="8">
      <c r="A8" s="10" t="inlineStr">
        <is>
          <t>Roman w/ WD</t>
        </is>
      </c>
      <c r="B8" s="32" t="inlineStr">
        <is>
          <t>1/1.5</t>
        </is>
      </c>
      <c r="C8" s="18" t="n">
        <v>4</v>
      </c>
      <c r="D8" s="41">
        <f>C8/$C$13</f>
        <v/>
      </c>
      <c r="E8" s="18" t="n">
        <v>852</v>
      </c>
      <c r="F8" s="42">
        <f>C8*E8</f>
        <v/>
      </c>
      <c r="G8" s="43" t="inlineStr">
        <is>
          <t>Yes</t>
        </is>
      </c>
      <c r="H8" s="18" t="n">
        <v>4</v>
      </c>
      <c r="I8" s="44" t="n">
        <v>1165</v>
      </c>
      <c r="J8" s="45">
        <f>I8/E8</f>
        <v/>
      </c>
      <c r="K8" s="44" t="n">
        <v>4656</v>
      </c>
      <c r="L8" s="33">
        <f>IF(H8=0,0,K8/H8)</f>
        <v/>
      </c>
      <c r="M8" s="41">
        <f>IF(H8=0,0,L8/I8-1)</f>
        <v/>
      </c>
      <c r="N8" s="33">
        <f>IF(G8="Yes",Assumptions!$B$38,Assumptions!$B$49)</f>
        <v/>
      </c>
      <c r="O8" s="33">
        <f>IF(G8="Yes",Assumptions!$B$39,Assumptions!$B$50)</f>
        <v/>
      </c>
      <c r="P8" s="46">
        <f>I8+O8</f>
        <v/>
      </c>
      <c r="Q8" s="45">
        <f>P8/E8</f>
        <v/>
      </c>
    </row>
    <row r="9">
      <c r="A9" s="10" t="inlineStr">
        <is>
          <t>Cabernet w/ WD</t>
        </is>
      </c>
      <c r="B9" s="32" t="inlineStr">
        <is>
          <t>2/1</t>
        </is>
      </c>
      <c r="C9" s="18" t="n">
        <v>4</v>
      </c>
      <c r="D9" s="41">
        <f>C9/$C$13</f>
        <v/>
      </c>
      <c r="E9" s="18" t="n">
        <v>1182</v>
      </c>
      <c r="F9" s="42">
        <f>C9*E9</f>
        <v/>
      </c>
      <c r="G9" s="43" t="inlineStr">
        <is>
          <t>Yes</t>
        </is>
      </c>
      <c r="H9" s="18" t="n">
        <v>4</v>
      </c>
      <c r="I9" s="44" t="n">
        <v>1350</v>
      </c>
      <c r="J9" s="45">
        <f>I9/E9</f>
        <v/>
      </c>
      <c r="K9" s="44" t="n">
        <v>5352</v>
      </c>
      <c r="L9" s="33">
        <f>IF(H9=0,0,K9/H9)</f>
        <v/>
      </c>
      <c r="M9" s="41">
        <f>IF(H9=0,0,L9/I9-1)</f>
        <v/>
      </c>
      <c r="N9" s="33">
        <f>IF(G9="Yes",Assumptions!$B$38,Assumptions!$B$49)</f>
        <v/>
      </c>
      <c r="O9" s="33">
        <f>IF(G9="Yes",Assumptions!$B$39,Assumptions!$B$50)</f>
        <v/>
      </c>
      <c r="P9" s="46">
        <f>I9+O9</f>
        <v/>
      </c>
      <c r="Q9" s="45">
        <f>P9/E9</f>
        <v/>
      </c>
    </row>
    <row r="10">
      <c r="A10" s="10" t="inlineStr">
        <is>
          <t>Verdun</t>
        </is>
      </c>
      <c r="B10" s="32" t="inlineStr">
        <is>
          <t>2/2</t>
        </is>
      </c>
      <c r="C10" s="18" t="n">
        <v>25</v>
      </c>
      <c r="D10" s="41">
        <f>C10/$C$13</f>
        <v/>
      </c>
      <c r="E10" s="18" t="n">
        <v>1105</v>
      </c>
      <c r="F10" s="42">
        <f>C10*E10</f>
        <v/>
      </c>
      <c r="G10" s="43" t="inlineStr">
        <is>
          <t>No</t>
        </is>
      </c>
      <c r="H10" s="18" t="n">
        <v>24</v>
      </c>
      <c r="I10" s="44" t="n">
        <v>1250</v>
      </c>
      <c r="J10" s="45">
        <f>I10/E10</f>
        <v/>
      </c>
      <c r="K10" s="44" t="n">
        <v>28580.03</v>
      </c>
      <c r="L10" s="33">
        <f>IF(H10=0,0,K10/H10)</f>
        <v/>
      </c>
      <c r="M10" s="41">
        <f>IF(H10=0,0,L10/I10-1)</f>
        <v/>
      </c>
      <c r="N10" s="33">
        <f>IF(G10="Yes",Assumptions!$B$38,Assumptions!$B$49)</f>
        <v/>
      </c>
      <c r="O10" s="33">
        <f>IF(G10="Yes",Assumptions!$B$39,Assumptions!$B$50)</f>
        <v/>
      </c>
      <c r="P10" s="46">
        <f>I10+O10</f>
        <v/>
      </c>
      <c r="Q10" s="45">
        <f>P10/E10</f>
        <v/>
      </c>
    </row>
    <row r="11">
      <c r="A11" s="10" t="inlineStr">
        <is>
          <t>Bordeaux</t>
        </is>
      </c>
      <c r="B11" s="32" t="inlineStr">
        <is>
          <t>2/2</t>
        </is>
      </c>
      <c r="C11" s="18" t="n">
        <v>25</v>
      </c>
      <c r="D11" s="41">
        <f>C11/$C$13</f>
        <v/>
      </c>
      <c r="E11" s="18" t="n">
        <v>1182</v>
      </c>
      <c r="F11" s="42">
        <f>C11*E11</f>
        <v/>
      </c>
      <c r="G11" s="43" t="inlineStr">
        <is>
          <t>No</t>
        </is>
      </c>
      <c r="H11" s="18" t="n">
        <v>23</v>
      </c>
      <c r="I11" s="44" t="n">
        <v>1260</v>
      </c>
      <c r="J11" s="45">
        <f>I11/E11</f>
        <v/>
      </c>
      <c r="K11" s="44" t="n">
        <v>28802</v>
      </c>
      <c r="L11" s="33">
        <f>IF(H11=0,0,K11/H11)</f>
        <v/>
      </c>
      <c r="M11" s="41">
        <f>IF(H11=0,0,L11/I11-1)</f>
        <v/>
      </c>
      <c r="N11" s="33">
        <f>IF(G11="Yes",Assumptions!$B$38,Assumptions!$B$49)</f>
        <v/>
      </c>
      <c r="O11" s="33">
        <f>IF(G11="Yes",Assumptions!$B$39,Assumptions!$B$50)</f>
        <v/>
      </c>
      <c r="P11" s="46">
        <f>I11+O11</f>
        <v/>
      </c>
      <c r="Q11" s="45">
        <f>P11/E11</f>
        <v/>
      </c>
    </row>
    <row r="12">
      <c r="A12" s="10" t="inlineStr">
        <is>
          <t>Brunswick w/ WD</t>
        </is>
      </c>
      <c r="B12" s="32" t="inlineStr">
        <is>
          <t>3/2</t>
        </is>
      </c>
      <c r="C12" s="18" t="n">
        <v>30</v>
      </c>
      <c r="D12" s="41">
        <f>C12/$C$13</f>
        <v/>
      </c>
      <c r="E12" s="18" t="n">
        <v>1590</v>
      </c>
      <c r="F12" s="42">
        <f>C12*E12</f>
        <v/>
      </c>
      <c r="G12" s="43" t="inlineStr">
        <is>
          <t>Yes</t>
        </is>
      </c>
      <c r="H12" s="18" t="n">
        <v>29</v>
      </c>
      <c r="I12" s="44" t="n">
        <v>1600</v>
      </c>
      <c r="J12" s="45">
        <f>I12/E12</f>
        <v/>
      </c>
      <c r="K12" s="44" t="n">
        <v>45411</v>
      </c>
      <c r="L12" s="33">
        <f>IF(H12=0,0,K12/H12)</f>
        <v/>
      </c>
      <c r="M12" s="41">
        <f>IF(H12=0,0,L12/I12-1)</f>
        <v/>
      </c>
      <c r="N12" s="33">
        <f>IF(G12="Yes",Assumptions!$B$38,Assumptions!$B$49)</f>
        <v/>
      </c>
      <c r="O12" s="33">
        <f>IF(G12="Yes",Assumptions!$B$39,Assumptions!$B$50)</f>
        <v/>
      </c>
      <c r="P12" s="46">
        <f>I12+O12</f>
        <v/>
      </c>
      <c r="Q12" s="45">
        <f>P12/E12</f>
        <v/>
      </c>
    </row>
    <row r="13">
      <c r="A13" s="36" t="inlineStr">
        <is>
          <t>Total / Weighted Average</t>
        </is>
      </c>
      <c r="C13" s="47">
        <f>SUM(C6:C12)</f>
        <v/>
      </c>
      <c r="D13" s="48">
        <f>SUM(D6:D12)</f>
        <v/>
      </c>
      <c r="E13" s="47">
        <f>F13/C13</f>
        <v/>
      </c>
      <c r="F13" s="47">
        <f>SUM(F6:F12)</f>
        <v/>
      </c>
      <c r="G13" s="38">
        <f>SUMIF(G6:G12,"Yes",C6:C12)&amp;" of "&amp;C13</f>
        <v/>
      </c>
      <c r="H13" s="47">
        <f>SUM(H6:H12)</f>
        <v/>
      </c>
      <c r="I13" s="49">
        <f>SUMPRODUCT(C6:C12,I6:I12)/C13</f>
        <v/>
      </c>
      <c r="J13" s="50">
        <f>SUMPRODUCT(C6:C12,I6:I12)/F13</f>
        <v/>
      </c>
      <c r="K13" s="49">
        <f>SUM(K6:K12)</f>
        <v/>
      </c>
      <c r="L13" s="49">
        <f>K13/H13</f>
        <v/>
      </c>
      <c r="M13" s="48">
        <f>L13/(SUMPRODUCT(H6:H12,I6:I12)/H13)-1</f>
        <v/>
      </c>
      <c r="N13" s="49">
        <f>SUMPRODUCT(C6:C12,N6:N12)/C13</f>
        <v/>
      </c>
      <c r="O13" s="49">
        <f>SUMPRODUCT(C6:C12,O6:O12)/C13</f>
        <v/>
      </c>
      <c r="P13" s="49">
        <f>SUMPRODUCT(C6:C12,P6:P12)/C13</f>
        <v/>
      </c>
      <c r="Q13" s="50">
        <f>SUMPRODUCT(C6:C12,P6:P12)/F13</f>
        <v/>
      </c>
    </row>
    <row r="15">
      <c r="A15" s="8" t="inlineStr">
        <is>
          <t>AGGREGATE RENT POTENTIAL</t>
        </is>
      </c>
    </row>
    <row r="16">
      <c r="A16" s="10" t="inlineStr">
        <is>
          <t>Total Market Rent — Classic Condition ($/month)</t>
        </is>
      </c>
      <c r="D16" s="46">
        <f>SUMPRODUCT(C6:C12,I6:I12)</f>
        <v/>
      </c>
    </row>
    <row r="17">
      <c r="A17" s="10" t="inlineStr">
        <is>
          <t>Total Market Rent — Renovated ($/month)</t>
        </is>
      </c>
      <c r="D17" s="46">
        <f>SUMPRODUCT(C6:C12,P6:P12)</f>
        <v/>
      </c>
    </row>
    <row r="18">
      <c r="A18" s="10" t="inlineStr">
        <is>
          <t>Average Market Rent / Unit — Classic</t>
        </is>
      </c>
      <c r="D18" s="46">
        <f>D16/C13</f>
        <v/>
      </c>
    </row>
    <row r="19">
      <c r="A19" s="10" t="inlineStr">
        <is>
          <t>Average Market Rent / Unit — Renovated</t>
        </is>
      </c>
      <c r="D19" s="46">
        <f>D17/C13</f>
        <v/>
      </c>
    </row>
    <row r="20">
      <c r="A20" s="10" t="inlineStr">
        <is>
          <t>Market Rent of the 4 Vacant Units ($/month)</t>
        </is>
      </c>
      <c r="D20" s="46">
        <f>SUMPRODUCT((C6:C12-H6:H12),I6:I12)</f>
        <v/>
      </c>
    </row>
    <row r="21">
      <c r="A21" s="10" t="inlineStr">
        <is>
          <t>Total Renovation Capital ($)</t>
        </is>
      </c>
      <c r="D21" s="46">
        <f>SUMPRODUCT(C6:C12,N6:N12)</f>
        <v/>
      </c>
    </row>
    <row r="22">
      <c r="A22" s="10" t="inlineStr">
        <is>
          <t>Units Requiring W/D Addition</t>
        </is>
      </c>
      <c r="D22" s="51">
        <f>SUMIF(G6:G12,"No",C6:C12)</f>
        <v/>
      </c>
    </row>
    <row r="24">
      <c r="A24" s="40" t="inlineStr">
        <is>
          <t>Unit counts, square footage, market rents and in-place rents are taken directly from the 07/01/2026 rent roll and foot to its total row ($153,435 market / $144,804 in-place / 134,371 SF). Renovation cost and premium are driven from the Assumptions tab.</t>
        </is>
      </c>
    </row>
  </sheetData>
  <mergeCells count="9">
    <mergeCell ref="A19:C19"/>
    <mergeCell ref="A22:C22"/>
    <mergeCell ref="A17:C17"/>
    <mergeCell ref="A15:D15"/>
    <mergeCell ref="A18:C18"/>
    <mergeCell ref="A24:Q24"/>
    <mergeCell ref="A21:C21"/>
    <mergeCell ref="A20:C20"/>
    <mergeCell ref="A16:C16"/>
  </mergeCells>
  <printOptions horizontalCentered="0"/>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76" customWidth="1" min="6" max="6"/>
  </cols>
  <sheetData>
    <row r="1">
      <c r="A1" s="1" t="inlineStr">
        <is>
          <t>CHATEAU IN THE WOODS  |  4020 Monaco Drive, Indianapolis, IN 46220  |  118 Units</t>
        </is>
      </c>
    </row>
    <row r="2">
      <c r="A2" s="2" t="inlineStr">
        <is>
          <t>T-12 Actuals (Feb 2025 – Jan 2026) Recast to Underwriting Line Items</t>
        </is>
      </c>
    </row>
    <row r="3">
      <c r="A3" s="3" t="inlineStr">
        <is>
          <t>Blue = hardcoded input / lever   ·   Black = formula   ·   Green = link to another sheet   ·   Yellow fill = key assumption</t>
        </is>
      </c>
    </row>
    <row r="4"/>
    <row r="5">
      <c r="A5" s="4" t="inlineStr">
        <is>
          <t>REVENUE</t>
        </is>
      </c>
      <c r="B5" s="5" t="n"/>
      <c r="C5" s="5" t="n"/>
      <c r="D5" s="5" t="n"/>
      <c r="E5" s="5" t="n"/>
      <c r="F5" s="5" t="n"/>
    </row>
    <row r="6">
      <c r="A6" s="6" t="inlineStr"/>
      <c r="B6" s="28" t="inlineStr">
        <is>
          <t>T-12 Actual</t>
        </is>
      </c>
      <c r="C6" s="28" t="inlineStr">
        <is>
          <t>Per Unit</t>
        </is>
      </c>
      <c r="D6" s="28" t="inlineStr">
        <is>
          <t>UW Year 1</t>
        </is>
      </c>
      <c r="E6" s="28" t="inlineStr">
        <is>
          <t>Variance</t>
        </is>
      </c>
      <c r="F6" s="8" t="inlineStr">
        <is>
          <t>Underwriting note</t>
        </is>
      </c>
    </row>
    <row r="7">
      <c r="A7" s="10" t="inlineStr">
        <is>
          <t>Gross Rent Potential</t>
        </is>
      </c>
      <c r="B7" s="44" t="n">
        <v>1813657</v>
      </c>
      <c r="C7" s="33">
        <f>B7/Assumptions!$B$19</f>
        <v/>
      </c>
      <c r="D7" s="52">
        <f>'Annual Model'!C22</f>
        <v/>
      </c>
      <c r="E7" s="41">
        <f>IF(B7=0,"n/a",D7/B7-1)</f>
        <v/>
      </c>
      <c r="F7" s="12" t="inlineStr">
        <is>
          <t>T-12 gross rent potential at then-current market rents. UW Year 1 reflects the 07/01/2026 rent roll, renovated-unit premiums as they come online, and market rent growth.</t>
        </is>
      </c>
    </row>
    <row r="8">
      <c r="A8" s="10" t="inlineStr">
        <is>
          <t>Economic Vacancy / Loss to Lease</t>
        </is>
      </c>
      <c r="B8" s="44" t="n">
        <v>-31322.94</v>
      </c>
      <c r="C8" s="33">
        <f>B8/Assumptions!$B$19</f>
        <v/>
      </c>
      <c r="D8" s="52">
        <f>'Annual Model'!C24</f>
        <v/>
      </c>
      <c r="E8" s="41">
        <f>IF(B8=0,"n/a",D8/B8-1)</f>
        <v/>
      </c>
      <c r="F8" s="12" t="inlineStr">
        <is>
          <t>T-12 loss to lease is 1.7% of GPR. Rent roll shows 2.2% in place today.</t>
        </is>
      </c>
    </row>
    <row r="9">
      <c r="A9" s="10" t="inlineStr">
        <is>
          <t>Physical Vacancy</t>
        </is>
      </c>
      <c r="B9" s="44" t="n">
        <v>-171096</v>
      </c>
      <c r="C9" s="33">
        <f>B9/Assumptions!$B$19</f>
        <v/>
      </c>
      <c r="D9" s="52">
        <f>'Annual Model'!C25+'Annual Model'!C26</f>
        <v/>
      </c>
      <c r="E9" s="41">
        <f>IF(B9=0,"n/a",D9/B9-1)</f>
        <v/>
      </c>
      <c r="F9" s="12" t="inlineStr">
        <is>
          <t>T-12 physical vacancy is 9.4% of GPR (and deteriorating: Jan-26 alone was $20,757). UW is 5.0% operating plus renovation downtime.</t>
        </is>
      </c>
    </row>
    <row r="10">
      <c r="A10" s="10" t="inlineStr">
        <is>
          <t>Concessions</t>
        </is>
      </c>
      <c r="B10" s="44" t="n">
        <v>-9688</v>
      </c>
      <c r="C10" s="33">
        <f>B10/Assumptions!$B$19</f>
        <v/>
      </c>
      <c r="D10" s="52">
        <f>'Annual Model'!C27</f>
        <v/>
      </c>
      <c r="E10" s="41">
        <f>IF(B10=0,"n/a",D10/B10-1)</f>
        <v/>
      </c>
      <c r="F10" s="12" t="inlineStr">
        <is>
          <t>T-12 $9,688. Concessions restarted in Aug-25 after a year at zero.</t>
        </is>
      </c>
    </row>
    <row r="11">
      <c r="A11" s="10" t="inlineStr">
        <is>
          <t>Bad Debt, net of collections</t>
        </is>
      </c>
      <c r="B11" s="44" t="n">
        <v>-9179.259999999998</v>
      </c>
      <c r="C11" s="33">
        <f>B11/Assumptions!$B$19</f>
        <v/>
      </c>
      <c r="D11" s="52">
        <f>'Annual Model'!C28</f>
        <v/>
      </c>
      <c r="E11" s="41">
        <f>IF(B11=0,"n/a",D11/B11-1)</f>
        <v/>
      </c>
      <c r="F11" s="12" t="inlineStr">
        <is>
          <t>T-12 gross write-offs $28,229 less $19,050 collected = $9,179 net (0.5%). Underwritten at 1.5% falling to 1.0% given 4 evictions and 8 notices on the rent roll.</t>
        </is>
      </c>
    </row>
    <row r="12">
      <c r="A12" s="36" t="inlineStr">
        <is>
          <t>Net Rental Income</t>
        </is>
      </c>
      <c r="B12" s="39" t="n">
        <v>1592370.8</v>
      </c>
      <c r="C12" s="39">
        <f>B12/Assumptions!$B$19</f>
        <v/>
      </c>
      <c r="D12" s="53">
        <f>'Annual Model'!C29</f>
        <v/>
      </c>
      <c r="E12" s="54">
        <f>IF(B12=0,"n/a",D12/B12-1)</f>
        <v/>
      </c>
      <c r="F12" s="12" t="inlineStr"/>
    </row>
    <row r="13"/>
    <row r="14">
      <c r="A14" s="8" t="inlineStr">
        <is>
          <t>OTHER INCOME</t>
        </is>
      </c>
    </row>
    <row r="15">
      <c r="A15" s="10" t="inlineStr">
        <is>
          <t xml:space="preserve">   Carport / Garage Rent (74 carports @ $25)</t>
        </is>
      </c>
      <c r="B15" s="44" t="n">
        <v>16197</v>
      </c>
      <c r="C15" s="33">
        <f>B15/Assumptions!$B$19</f>
        <v/>
      </c>
    </row>
    <row r="16">
      <c r="A16" s="10" t="inlineStr">
        <is>
          <t xml:space="preserve">   Storage Rent (5 of 23 rented @ $15-20)</t>
        </is>
      </c>
      <c r="B16" s="44" t="n">
        <v>141</v>
      </c>
      <c r="C16" s="33">
        <f>B16/Assumptions!$B$19</f>
        <v/>
      </c>
    </row>
    <row r="17">
      <c r="A17" s="10" t="inlineStr">
        <is>
          <t xml:space="preserve">   Credit Builder Fees</t>
        </is>
      </c>
      <c r="B17" s="44" t="n">
        <v>2346.11</v>
      </c>
      <c r="C17" s="33">
        <f>B17/Assumptions!$B$19</f>
        <v/>
      </c>
    </row>
    <row r="18">
      <c r="A18" s="10" t="inlineStr">
        <is>
          <t xml:space="preserve">   Onsite Transfer Fees</t>
        </is>
      </c>
      <c r="B18" s="44" t="n">
        <v>200</v>
      </c>
      <c r="C18" s="33">
        <f>B18/Assumptions!$B$19</f>
        <v/>
      </c>
    </row>
    <row r="19">
      <c r="A19" s="10" t="inlineStr">
        <is>
          <t xml:space="preserve">   Administrative Fees</t>
        </is>
      </c>
      <c r="B19" s="44" t="n">
        <v>5250</v>
      </c>
      <c r="C19" s="33">
        <f>B19/Assumptions!$B$19</f>
        <v/>
      </c>
    </row>
    <row r="20">
      <c r="A20" s="10" t="inlineStr">
        <is>
          <t xml:space="preserve">   Utility Fees (water/sewer + valet trash bundled)</t>
        </is>
      </c>
      <c r="B20" s="44" t="n">
        <v>97811.57000000001</v>
      </c>
      <c r="C20" s="33">
        <f>B20/Assumptions!$B$19</f>
        <v/>
      </c>
    </row>
    <row r="21">
      <c r="A21" s="10" t="inlineStr">
        <is>
          <t xml:space="preserve">   Technology Fee ($49 bulk internet, ramping)</t>
        </is>
      </c>
      <c r="B21" s="44" t="n">
        <v>13553</v>
      </c>
      <c r="C21" s="33">
        <f>B21/Assumptions!$B$19</f>
        <v/>
      </c>
    </row>
    <row r="22">
      <c r="A22" s="10" t="inlineStr">
        <is>
          <t xml:space="preserve">   Lease Termination Fees</t>
        </is>
      </c>
      <c r="B22" s="44" t="n">
        <v>4000</v>
      </c>
      <c r="C22" s="33">
        <f>B22/Assumptions!$B$19</f>
        <v/>
      </c>
    </row>
    <row r="23">
      <c r="A23" s="10" t="inlineStr">
        <is>
          <t xml:space="preserve">   Eviction Fees</t>
        </is>
      </c>
      <c r="B23" s="44" t="n">
        <v>3095.96</v>
      </c>
      <c r="C23" s="33">
        <f>B23/Assumptions!$B$19</f>
        <v/>
      </c>
    </row>
    <row r="24">
      <c r="A24" s="10" t="inlineStr">
        <is>
          <t xml:space="preserve">   Washer/Dryer Rental (programme discontinued)</t>
        </is>
      </c>
      <c r="B24" s="44" t="n">
        <v>209</v>
      </c>
      <c r="C24" s="33">
        <f>B24/Assumptions!$B$19</f>
        <v/>
      </c>
    </row>
    <row r="25">
      <c r="A25" s="10" t="inlineStr">
        <is>
          <t xml:space="preserve">   Application Fees</t>
        </is>
      </c>
      <c r="B25" s="44" t="n">
        <v>7050</v>
      </c>
      <c r="C25" s="33">
        <f>B25/Assumptions!$B$19</f>
        <v/>
      </c>
    </row>
    <row r="26">
      <c r="A26" s="10" t="inlineStr">
        <is>
          <t xml:space="preserve">   Utility Reimbursement</t>
        </is>
      </c>
      <c r="B26" s="44" t="n">
        <v>545.9299999999999</v>
      </c>
      <c r="C26" s="33">
        <f>B26/Assumptions!$B$19</f>
        <v/>
      </c>
    </row>
    <row r="27">
      <c r="A27" s="10" t="inlineStr">
        <is>
          <t xml:space="preserve">   Pet Fees</t>
        </is>
      </c>
      <c r="B27" s="44" t="n">
        <v>500</v>
      </c>
      <c r="C27" s="33">
        <f>B27/Assumptions!$B$19</f>
        <v/>
      </c>
    </row>
    <row r="28">
      <c r="A28" s="10" t="inlineStr">
        <is>
          <t xml:space="preserve">   Short-Term Lease Fees</t>
        </is>
      </c>
      <c r="B28" s="44" t="n">
        <v>6440.71</v>
      </c>
      <c r="C28" s="33">
        <f>B28/Assumptions!$B$19</f>
        <v/>
      </c>
    </row>
    <row r="29">
      <c r="A29" s="10" t="inlineStr">
        <is>
          <t xml:space="preserve">   Late Fees</t>
        </is>
      </c>
      <c r="B29" s="44" t="n">
        <v>9675</v>
      </c>
      <c r="C29" s="33">
        <f>B29/Assumptions!$B$19</f>
        <v/>
      </c>
    </row>
    <row r="30">
      <c r="A30" s="10" t="inlineStr">
        <is>
          <t xml:space="preserve">   NSF Fees</t>
        </is>
      </c>
      <c r="B30" s="44" t="n">
        <v>500</v>
      </c>
      <c r="C30" s="33">
        <f>B30/Assumptions!$B$19</f>
        <v/>
      </c>
    </row>
    <row r="31">
      <c r="A31" s="10" t="inlineStr">
        <is>
          <t xml:space="preserve">   Miscellaneous Income</t>
        </is>
      </c>
      <c r="B31" s="44" t="n">
        <v>5614.85</v>
      </c>
      <c r="C31" s="33">
        <f>B31/Assumptions!$B$19</f>
        <v/>
      </c>
    </row>
    <row r="32">
      <c r="A32" s="10" t="inlineStr">
        <is>
          <t xml:space="preserve">   Damage Charges (cleaning, flooring, paint, other)</t>
        </is>
      </c>
      <c r="B32" s="44" t="n">
        <v>20467.4</v>
      </c>
      <c r="C32" s="33">
        <f>B32/Assumptions!$B$19</f>
        <v/>
      </c>
    </row>
    <row r="33">
      <c r="A33" s="36" t="inlineStr">
        <is>
          <t>Total Operating Other Income</t>
        </is>
      </c>
      <c r="B33" s="39">
        <f>SUM(B15:B32)</f>
        <v/>
      </c>
      <c r="C33" s="39">
        <f>B33/Assumptions!$B$19</f>
        <v/>
      </c>
      <c r="D33" s="53">
        <f>'Other Income'!C25</f>
        <v/>
      </c>
      <c r="E33" s="54">
        <f>IF(B33=0,"n/a",D33/B33-1)</f>
        <v/>
      </c>
      <c r="F33" s="12" t="inlineStr">
        <is>
          <t>Interest income of $4,133 is excluded as non-property income. Bad debt is shown above as a revenue deduction rather than netted in other income.</t>
        </is>
      </c>
    </row>
    <row r="34">
      <c r="A34" s="10" t="inlineStr">
        <is>
          <t>Memo: Interest Income (excluded)</t>
        </is>
      </c>
      <c r="B34" s="44" t="n">
        <v>4132.89</v>
      </c>
      <c r="C34" s="33">
        <f>B34/Assumptions!$B$19</f>
        <v/>
      </c>
      <c r="F34" s="12" t="inlineStr">
        <is>
          <t>Excluded from underwritten revenue — a function of the seller's cash balances, not the real estate.</t>
        </is>
      </c>
    </row>
    <row r="35"/>
    <row r="36">
      <c r="A36" s="4" t="inlineStr">
        <is>
          <t>OPERATING EXPENSES</t>
        </is>
      </c>
      <c r="B36" s="5" t="n"/>
      <c r="C36" s="5" t="n"/>
      <c r="D36" s="5" t="n"/>
      <c r="E36" s="5" t="n"/>
      <c r="F36" s="5" t="n"/>
    </row>
    <row r="37">
      <c r="A37" s="6" t="inlineStr"/>
      <c r="B37" s="28" t="inlineStr">
        <is>
          <t>T-12 Actual</t>
        </is>
      </c>
      <c r="C37" s="28" t="inlineStr">
        <is>
          <t>Per Unit</t>
        </is>
      </c>
      <c r="D37" s="28" t="inlineStr">
        <is>
          <t>UW Year 1</t>
        </is>
      </c>
      <c r="E37" s="28" t="inlineStr">
        <is>
          <t>Variance</t>
        </is>
      </c>
      <c r="F37" s="8" t="inlineStr">
        <is>
          <t>Underwriting note</t>
        </is>
      </c>
    </row>
    <row r="38" ht="30" customHeight="1">
      <c r="A38" s="10" t="inlineStr">
        <is>
          <t>Payroll (incl. contract labour)</t>
        </is>
      </c>
      <c r="B38" s="44" t="n">
        <v>227969.28</v>
      </c>
      <c r="C38" s="33">
        <f>B38/Assumptions!$B$19</f>
        <v/>
      </c>
      <c r="D38" s="52">
        <f>Assumptions!$B$73</f>
        <v/>
      </c>
      <c r="E38" s="41">
        <f>D38/B38-1</f>
        <v/>
      </c>
      <c r="F38" s="12" t="inlineStr">
        <is>
          <t>T-12 $227,969 ($1,932/unit) including $9,778 of contract labour. CBRE forecast $229,021 for a manager, part-time leasing, maintenance supervisor and one technician. We fund a second technician.</t>
        </is>
      </c>
    </row>
    <row r="39" ht="30" customHeight="1">
      <c r="A39" s="10" t="inlineStr">
        <is>
          <t>Property Management Fee</t>
        </is>
      </c>
      <c r="B39" s="44" t="n">
        <v>62064.01</v>
      </c>
      <c r="C39" s="33">
        <f>B39/Assumptions!$B$19</f>
        <v/>
      </c>
      <c r="D39" s="52">
        <f>'Annual Model'!C37</f>
        <v/>
      </c>
      <c r="E39" s="41">
        <f>D39/B39-1</f>
        <v/>
      </c>
      <c r="F39" s="12" t="inlineStr">
        <is>
          <t>T-12 is an effective 3.5% of revenue. Underwritten at a market 4.0% of effective gross revenue.</t>
        </is>
      </c>
    </row>
    <row r="40" ht="30" customHeight="1">
      <c r="A40" s="10" t="inlineStr">
        <is>
          <t>Marketing &amp; Advertising</t>
        </is>
      </c>
      <c r="B40" s="44" t="n">
        <v>26399.14</v>
      </c>
      <c r="C40" s="33">
        <f>B40/Assumptions!$B$19</f>
        <v/>
      </c>
      <c r="D40" s="52">
        <f>Assumptions!$B$75</f>
        <v/>
      </c>
      <c r="E40" s="41">
        <f>D40/B40-1</f>
        <v/>
      </c>
      <c r="F40" s="12" t="inlineStr">
        <is>
          <t>T-12 $26,399, of which $22,047 is ILS. Increased modestly for renovated-unit lease-up.</t>
        </is>
      </c>
    </row>
    <row r="41" ht="30" customHeight="1">
      <c r="A41" s="10" t="inlineStr">
        <is>
          <t>General &amp; Administrative</t>
        </is>
      </c>
      <c r="B41" s="44" t="n">
        <v>62885.88</v>
      </c>
      <c r="C41" s="33">
        <f>B41/Assumptions!$B$19</f>
        <v/>
      </c>
      <c r="D41" s="52">
        <f>Assumptions!$B$76</f>
        <v/>
      </c>
      <c r="E41" s="41">
        <f>D41/B41-1</f>
        <v/>
      </c>
      <c r="F41" s="12" t="inlineStr">
        <is>
          <t>T-12 $62,887 includes $17,528 legal and $14,730 tax/audit concentrated in Dec-25/Jan-26, almost certainly transaction-related. CBRE forecast $42,209. Underwritten at $50,000 between the two.</t>
        </is>
      </c>
    </row>
    <row r="42" ht="30" customHeight="1">
      <c r="A42" s="10" t="inlineStr">
        <is>
          <t>Bulk Internet</t>
        </is>
      </c>
      <c r="B42" s="44" t="n">
        <v>11068.2</v>
      </c>
      <c r="C42" s="33">
        <f>B42/Assumptions!$B$19</f>
        <v/>
      </c>
      <c r="D42" s="52">
        <f>Assumptions!$B$77</f>
        <v/>
      </c>
      <c r="E42" s="41">
        <f>D42/B42-1</f>
        <v/>
      </c>
      <c r="F42" s="12" t="inlineStr">
        <is>
          <t>T-12 $11,068 captures only 7 months of a ramping contract. Stabilised is $27.95/unit/month = $39,577. Understating this line is the easiest way to overstate NOI on this deal.</t>
        </is>
      </c>
    </row>
    <row r="43" ht="30" customHeight="1">
      <c r="A43" s="10" t="inlineStr">
        <is>
          <t>Electricity (common + vacant)</t>
        </is>
      </c>
      <c r="B43" s="44" t="n">
        <v>30319.93</v>
      </c>
      <c r="C43" s="33">
        <f>B43/Assumptions!$B$19</f>
        <v/>
      </c>
      <c r="D43" s="52">
        <f>Assumptions!$B$78</f>
        <v/>
      </c>
      <c r="E43" s="41">
        <f>D43/B43-1</f>
        <v/>
      </c>
      <c r="F43" s="12" t="inlineStr">
        <is>
          <t>T-12 $30,320 across corporate and vacant-unit meters.</t>
        </is>
      </c>
    </row>
    <row r="44" ht="30" customHeight="1">
      <c r="A44" s="10" t="inlineStr">
        <is>
          <t>Gas (central hot water + common)</t>
        </is>
      </c>
      <c r="B44" s="44" t="n">
        <v>15330.1</v>
      </c>
      <c r="C44" s="33">
        <f>B44/Assumptions!$B$19</f>
        <v/>
      </c>
      <c r="D44" s="52">
        <f>Assumptions!$B$79</f>
        <v/>
      </c>
      <c r="E44" s="41">
        <f>D44/B44-1</f>
        <v/>
      </c>
      <c r="F44" s="12" t="inlineStr">
        <is>
          <t>T-12 $15,330. Central gas water heaters plus 8 individual electric.</t>
        </is>
      </c>
    </row>
    <row r="45" ht="30" customHeight="1">
      <c r="A45" s="10" t="inlineStr">
        <is>
          <t>Water &amp; Sewer</t>
        </is>
      </c>
      <c r="B45" s="44" t="n">
        <v>86468.36</v>
      </c>
      <c r="C45" s="33">
        <f>B45/Assumptions!$B$19</f>
        <v/>
      </c>
      <c r="D45" s="52">
        <f>Assumptions!$B$80</f>
        <v/>
      </c>
      <c r="E45" s="41">
        <f>D45/B45-1</f>
        <v/>
      </c>
      <c r="F45" s="12" t="inlineStr">
        <is>
          <t>T-12 $86,468. Master-metered and billed back to residents; recovery is modelled at 85% in Other Income.</t>
        </is>
      </c>
    </row>
    <row r="46" ht="30" customHeight="1">
      <c r="A46" s="10" t="inlineStr">
        <is>
          <t>Repairs &amp; Maintenance (incl. turns)</t>
        </is>
      </c>
      <c r="B46" s="44" t="n">
        <v>250934.72</v>
      </c>
      <c r="C46" s="33">
        <f>B46/Assumptions!$B$19</f>
        <v/>
      </c>
      <c r="D46" s="52">
        <f>Assumptions!$B$81</f>
        <v/>
      </c>
      <c r="E46" s="41">
        <f>D46/B46-1</f>
        <v/>
      </c>
      <c r="F46" s="12" t="inlineStr">
        <is>
          <t>T-12 $250,935 ($2,127/unit) including $42,921 of turnover cost. No post-renovation savings credited, though a fully renovated portfolio should run lighter.</t>
        </is>
      </c>
    </row>
    <row r="47" ht="30" customHeight="1">
      <c r="A47" s="10" t="inlineStr">
        <is>
          <t>Insurance</t>
        </is>
      </c>
      <c r="B47" s="44" t="n">
        <v>94611.24000000001</v>
      </c>
      <c r="C47" s="33">
        <f>B47/Assumptions!$B$19</f>
        <v/>
      </c>
      <c r="D47" s="52">
        <f>Assumptions!$B$82</f>
        <v/>
      </c>
      <c r="E47" s="41">
        <f>D47/B47-1</f>
        <v/>
      </c>
      <c r="F47" s="12" t="inlineStr">
        <is>
          <t>T-12 $94,611 ($802/unit). CBRE forecast $88,326. Held at T-12 plus a small cushion pending a loss run.</t>
        </is>
      </c>
    </row>
    <row r="48" ht="30" customHeight="1">
      <c r="A48" s="10" t="inlineStr">
        <is>
          <t>Real Estate Taxes</t>
        </is>
      </c>
      <c r="B48" s="44" t="n">
        <v>149676.52</v>
      </c>
      <c r="C48" s="33">
        <f>B48/Assumptions!$B$19</f>
        <v/>
      </c>
      <c r="D48" s="52">
        <f>'Annual Model'!C46</f>
        <v/>
      </c>
      <c r="E48" s="41">
        <f>D48/B48-1</f>
        <v/>
      </c>
      <c r="F48" s="12" t="inlineStr">
        <is>
          <t>T-12 $149,677 including a $17,958 October catch-up. CBRE's 2025-pay-2026 estimate with the SB-1 deduction is $135,374. Year 1 $140,000 stepping to $210,000 by Year 5 for reassessment on sale.</t>
        </is>
      </c>
    </row>
    <row r="49">
      <c r="A49" s="36" t="inlineStr">
        <is>
          <t>Total Operating Expenses</t>
        </is>
      </c>
      <c r="B49" s="39">
        <f>SUM(B38:B48)</f>
        <v/>
      </c>
      <c r="C49" s="39">
        <f>B49/Assumptions!$B$19</f>
        <v/>
      </c>
      <c r="D49" s="53">
        <f>'Annual Model'!C47</f>
        <v/>
      </c>
      <c r="E49" s="54">
        <f>D49/B49-1</f>
        <v/>
      </c>
    </row>
    <row r="50">
      <c r="A50" s="55" t="inlineStr">
        <is>
          <t>Net Operating Income</t>
        </is>
      </c>
      <c r="B50" s="56">
        <f>B12+B33-B49</f>
        <v/>
      </c>
      <c r="C50" s="56">
        <f>B50/Assumptions!$B$19</f>
        <v/>
      </c>
      <c r="D50" s="57">
        <f>'Annual Model'!C51</f>
        <v/>
      </c>
      <c r="E50" s="58">
        <f>D50/B50-1</f>
        <v/>
      </c>
    </row>
    <row r="51"/>
    <row r="52">
      <c r="A52" s="6" t="inlineStr">
        <is>
          <t>Memo — items the property books below NOI or excludes:</t>
        </is>
      </c>
    </row>
    <row r="53">
      <c r="A53" s="10" t="inlineStr">
        <is>
          <t xml:space="preserve">   Replacement Reserve / capital spend (T-12 actual)</t>
        </is>
      </c>
      <c r="B53" s="44" t="n">
        <v>108412.44</v>
      </c>
      <c r="C53" s="33">
        <f>B53/Assumptions!$B$19</f>
        <v/>
      </c>
      <c r="F53" s="12" t="inlineStr">
        <is>
          <t>The property expensed $108,412 of capital below the line in the T-12, including $34,535 of concrete/asphalt and $29,053 of water heaters. Evidence of real ongoing capital need.</t>
        </is>
      </c>
    </row>
    <row r="54">
      <c r="A54" s="10" t="inlineStr">
        <is>
          <t xml:space="preserve">   Depreciation &amp; Amortisation</t>
        </is>
      </c>
      <c r="B54" s="44" t="n">
        <v>167811.52</v>
      </c>
      <c r="C54" s="33">
        <f>B54/Assumptions!$B$19</f>
        <v/>
      </c>
      <c r="F54" s="12" t="inlineStr">
        <is>
          <t>Non-cash; excluded.</t>
        </is>
      </c>
    </row>
    <row r="55"/>
    <row r="56">
      <c r="A56" s="40" t="inlineStr">
        <is>
          <t>Source: Chateau in the Woods Trailing Profit And Loss Detail, January 2026, accrual basis (ResMan), covering February 2025 through January 2026. All T-12 figures are the report's own Adjusted Total column.</t>
        </is>
      </c>
    </row>
    <row r="57">
      <c r="A57" s="40" t="inlineStr">
        <is>
          <t>Tie-out: the property's own statement shows total income of $1,790,101 less total expense of $1,017,727 = $772,374 of NOI. This recast shows $768,242, the difference being the $4,133 of interest income excluded above as non-property income. Bad debt is presented here as a revenue deduction rather than netted inside other income, which changes the presentation but not the NOI.</t>
        </is>
      </c>
    </row>
  </sheetData>
  <mergeCells count="2">
    <mergeCell ref="A36:F36"/>
    <mergeCell ref="A5:F5"/>
  </mergeCells>
  <printOptions horizontalCentered="0"/>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2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62" customWidth="1" min="8" max="8"/>
  </cols>
  <sheetData>
    <row r="1">
      <c r="A1" s="1" t="inlineStr">
        <is>
          <t>CHATEAU IN THE WOODS  |  4020 Monaco Drive, Indianapolis, IN 46220  |  118 Units</t>
        </is>
      </c>
    </row>
    <row r="2">
      <c r="A2" s="2" t="inlineStr">
        <is>
          <t>Other Income Build — T-12 Actuals plus Identified Ancillary Upside</t>
        </is>
      </c>
    </row>
    <row r="3">
      <c r="A3" s="3" t="inlineStr">
        <is>
          <t>Blue = hardcoded input / lever   ·   Black = formula   ·   Green = link to another sheet   ·   Yellow fill = key assumption</t>
        </is>
      </c>
    </row>
    <row r="5">
      <c r="A5" s="6" t="inlineStr"/>
      <c r="B5" s="28" t="inlineStr">
        <is>
          <t>T-12 Actual</t>
        </is>
      </c>
      <c r="C5" s="28" t="inlineStr">
        <is>
          <t>Year 1</t>
        </is>
      </c>
      <c r="D5" s="28" t="inlineStr">
        <is>
          <t>Year 2</t>
        </is>
      </c>
      <c r="E5" s="28" t="inlineStr">
        <is>
          <t>Year 3</t>
        </is>
      </c>
      <c r="F5" s="28" t="inlineStr">
        <is>
          <t>Year 4</t>
        </is>
      </c>
      <c r="G5" s="28" t="inlineStr">
        <is>
          <t>Year 5</t>
        </is>
      </c>
      <c r="H5" s="8" t="inlineStr">
        <is>
          <t>Basis</t>
        </is>
      </c>
    </row>
    <row r="6" ht="28" customHeight="1">
      <c r="A6" s="10" t="inlineStr">
        <is>
          <t>Ramp — Technology Fee ($49) implementation</t>
        </is>
      </c>
      <c r="C6" s="16" t="n">
        <v>0.85</v>
      </c>
      <c r="D6" s="16" t="n">
        <v>1</v>
      </c>
      <c r="E6" s="16" t="n">
        <v>1</v>
      </c>
      <c r="F6" s="16" t="n">
        <v>1</v>
      </c>
      <c r="G6" s="16" t="n">
        <v>1</v>
      </c>
      <c r="H6" s="12" t="inlineStr">
        <is>
          <t>Contract signed May 2025 and implemented on new leases and renewals over 13 months. Jan-26 booked $3,303 of a $5,489 full month, i.e. 60% penetrated at the T-12 close.</t>
        </is>
      </c>
    </row>
    <row r="7" ht="28" customHeight="1">
      <c r="A7" s="10" t="inlineStr">
        <is>
          <t>Ramp — Valet Trash ($25) implementation</t>
        </is>
      </c>
      <c r="C7" s="16" t="n">
        <v>0.75</v>
      </c>
      <c r="D7" s="16" t="n">
        <v>0.95</v>
      </c>
      <c r="E7" s="16" t="n">
        <v>1</v>
      </c>
      <c r="F7" s="16" t="n">
        <v>1</v>
      </c>
      <c r="G7" s="16" t="n">
        <v>1</v>
      </c>
      <c r="H7" s="12" t="inlineStr">
        <is>
          <t>Charged on new leases and renewals. The property begins paying the valet contractor in Jan-2026.</t>
        </is>
      </c>
    </row>
    <row r="8" ht="28" customHeight="1">
      <c r="A8" s="10" t="inlineStr">
        <is>
          <t>Ramp — Pet Rent (new policy)</t>
        </is>
      </c>
      <c r="C8" s="16" t="n">
        <v>0.5</v>
      </c>
      <c r="D8" s="16" t="n">
        <v>1</v>
      </c>
      <c r="E8" s="16" t="n">
        <v>1</v>
      </c>
      <c r="F8" s="16" t="n">
        <v>1</v>
      </c>
      <c r="G8" s="16" t="n">
        <v>1</v>
      </c>
      <c r="H8" s="12" t="inlineStr">
        <is>
          <t>The property charges no pet fee or pet rent today. New policy phased in on renewals over year one.</t>
        </is>
      </c>
    </row>
    <row r="9">
      <c r="A9" s="10" t="inlineStr">
        <is>
          <t>Economic occupancy factor for per-unit charges</t>
        </is>
      </c>
      <c r="C9" s="16" t="n">
        <v>0.95</v>
      </c>
      <c r="D9" s="16" t="n">
        <v>0.95</v>
      </c>
      <c r="E9" s="16" t="n">
        <v>0.95</v>
      </c>
      <c r="F9" s="16" t="n">
        <v>0.95</v>
      </c>
      <c r="G9" s="16" t="n">
        <v>0.95</v>
      </c>
      <c r="H9" s="12" t="inlineStr">
        <is>
          <t>Consistent with CBRE's other-income forecast method.</t>
        </is>
      </c>
    </row>
    <row r="11">
      <c r="A11" s="8" t="inlineStr">
        <is>
          <t>OTHER INCOME LINE ITEMS</t>
        </is>
      </c>
    </row>
    <row r="12" ht="26" customHeight="1">
      <c r="A12" s="10" t="inlineStr">
        <is>
          <t>Water &amp; Sewer Recovery (85% of expense)</t>
        </is>
      </c>
      <c r="B12" s="44" t="n">
        <v>97811.57000000001</v>
      </c>
      <c r="C12" s="33">
        <f>0.85*Assumptions!$B$80</f>
        <v/>
      </c>
      <c r="D12" s="33">
        <f>C12*(1+Assumptions!$C$80)</f>
        <v/>
      </c>
      <c r="E12" s="33">
        <f>D12*(1+Assumptions!$C$80)</f>
        <v/>
      </c>
      <c r="F12" s="33">
        <f>E12*(1+Assumptions!$C$80)</f>
        <v/>
      </c>
      <c r="G12" s="33">
        <f>F12*(1+Assumptions!$C$80)</f>
        <v/>
      </c>
      <c r="H12" s="12" t="inlineStr">
        <is>
          <t>T-12 Utility Fees of $97,812 bundle water/sewer and valet trash. CBRE's forecast splits them and assumes 85% water/sewer recovery. Flexes with the water &amp; sewer expense line.</t>
        </is>
      </c>
    </row>
    <row r="13" ht="26" customHeight="1">
      <c r="A13" s="10" t="inlineStr">
        <is>
          <t>Valet Trash ($25/unit/month)</t>
        </is>
      </c>
      <c r="B13" s="44" t="n">
        <v>0</v>
      </c>
      <c r="C13" s="33">
        <f>25*12*Assumptions!$B$19*C$9*C$7</f>
        <v/>
      </c>
      <c r="D13" s="33">
        <f>C13/C$7*D$7*(1+Assumptions!D$69)</f>
        <v/>
      </c>
      <c r="E13" s="33">
        <f>D13/D$7*E$7*(1+Assumptions!E$69)</f>
        <v/>
      </c>
      <c r="F13" s="33">
        <f>E13/E$7*F$7*(1+Assumptions!F$69)</f>
        <v/>
      </c>
      <c r="G13" s="33">
        <f>F13/F$7*G$7*(1+Assumptions!G$69)</f>
        <v/>
      </c>
      <c r="H13" s="12" t="inlineStr">
        <is>
          <t>Broken out of Utility Fees per CBRE. A valet contract has been signed and the property starts paying for the service in Jan-2026, so the charge must be collected.</t>
        </is>
      </c>
    </row>
    <row r="14" ht="26" customHeight="1">
      <c r="A14" s="10" t="inlineStr">
        <is>
          <t>Technology Fee ($49/unit/month)</t>
        </is>
      </c>
      <c r="B14" s="44" t="n">
        <v>13553</v>
      </c>
      <c r="C14" s="33">
        <f>49*12*Assumptions!$B$19*C$9*C$6</f>
        <v/>
      </c>
      <c r="D14" s="33">
        <f>C14/C$6*D$6*(1+Assumptions!D$69)</f>
        <v/>
      </c>
      <c r="E14" s="33">
        <f>D14/D$6*E$6*(1+Assumptions!E$69)</f>
        <v/>
      </c>
      <c r="F14" s="33">
        <f>E14/E$6*F$6*(1+Assumptions!F$69)</f>
        <v/>
      </c>
      <c r="G14" s="33">
        <f>F14/F$6*G$6*(1+Assumptions!G$69)</f>
        <v/>
      </c>
      <c r="H14" s="12" t="inlineStr">
        <is>
          <t>Offsets the $27.95/unit/month bulk internet expense. Contractual and already being billed.</t>
        </is>
      </c>
    </row>
    <row r="15" ht="26" customHeight="1">
      <c r="A15" s="10" t="inlineStr">
        <is>
          <t>Carport Rent (74 carports @ $25/month)</t>
        </is>
      </c>
      <c r="B15" s="44" t="n">
        <v>16197</v>
      </c>
      <c r="C15" s="33">
        <f>B15</f>
        <v/>
      </c>
      <c r="D15" s="33">
        <f>C15*(1+Assumptions!D$69)</f>
        <v/>
      </c>
      <c r="E15" s="33">
        <f>D15*(1+Assumptions!E$69)</f>
        <v/>
      </c>
      <c r="F15" s="33">
        <f>E15*(1+Assumptions!F$69)</f>
        <v/>
      </c>
      <c r="G15" s="33">
        <f>F15*(1+Assumptions!G$69)</f>
        <v/>
      </c>
      <c r="H15" s="12" t="inlineStr">
        <is>
          <t>T-12 actual. 74 carports at $25; occupancy of the carports, not the units.</t>
        </is>
      </c>
    </row>
    <row r="16" ht="26" customHeight="1">
      <c r="A16" s="10" t="inlineStr">
        <is>
          <t>Pet Rent ($30/month on 25% of units)</t>
        </is>
      </c>
      <c r="B16" s="44" t="n">
        <v>500</v>
      </c>
      <c r="C16" s="33">
        <f>30*12*Assumptions!$B$19*0.25*C$8</f>
        <v/>
      </c>
      <c r="D16" s="33">
        <f>C16/C$8*D$8*(1+Assumptions!D$69)</f>
        <v/>
      </c>
      <c r="E16" s="33">
        <f>D16/D$8*E$8*(1+Assumptions!E$69)</f>
        <v/>
      </c>
      <c r="F16" s="33">
        <f>E16/E$8*F$8*(1+Assumptions!F$69)</f>
        <v/>
      </c>
      <c r="G16" s="33">
        <f>F16/F$8*G$8*(1+Assumptions!G$69)</f>
        <v/>
      </c>
      <c r="H16" s="12" t="inlineStr">
        <is>
          <t>The property currently charges nothing for pets. A conservative $30/month on 25% of units; CBRE forecasts the same $10,620.</t>
        </is>
      </c>
    </row>
    <row r="17" ht="26" customHeight="1">
      <c r="A17" s="10" t="inlineStr">
        <is>
          <t>Storage Rent (23 units available)</t>
        </is>
      </c>
      <c r="B17" s="44" t="n">
        <v>141</v>
      </c>
      <c r="C17" s="33">
        <f>3600</f>
        <v/>
      </c>
      <c r="D17" s="33">
        <f>C17*(1+Assumptions!D$69)</f>
        <v/>
      </c>
      <c r="E17" s="33">
        <f>D17*(1+Assumptions!E$69)</f>
        <v/>
      </c>
      <c r="F17" s="33">
        <f>E17*(1+Assumptions!F$69)</f>
        <v/>
      </c>
      <c r="G17" s="33">
        <f>F17*(1+Assumptions!G$69)</f>
        <v/>
      </c>
      <c r="H17" s="12" t="inlineStr">
        <is>
          <t>Only 5 of 23 storage units are rented today at $15-20. Underwritten at 12 rented at $25.</t>
        </is>
      </c>
    </row>
    <row r="18" ht="26" customHeight="1">
      <c r="A18" s="10" t="inlineStr">
        <is>
          <t>Application &amp; Administrative Fees</t>
        </is>
      </c>
      <c r="B18" s="44" t="n">
        <v>14846.11</v>
      </c>
      <c r="C18" s="33">
        <f>B18</f>
        <v/>
      </c>
      <c r="D18" s="33">
        <f>C18*(1+Assumptions!D$69)</f>
        <v/>
      </c>
      <c r="E18" s="33">
        <f>D18*(1+Assumptions!E$69)</f>
        <v/>
      </c>
      <c r="F18" s="33">
        <f>E18*(1+Assumptions!F$69)</f>
        <v/>
      </c>
      <c r="G18" s="33">
        <f>F18*(1+Assumptions!G$69)</f>
        <v/>
      </c>
      <c r="H18" s="12" t="inlineStr">
        <is>
          <t>T-12 actual: application, administrative, credit builder and transfer fees.</t>
        </is>
      </c>
    </row>
    <row r="19" ht="26" customHeight="1">
      <c r="A19" s="10" t="inlineStr">
        <is>
          <t>Late &amp; NSF Fees</t>
        </is>
      </c>
      <c r="B19" s="44" t="n">
        <v>10175</v>
      </c>
      <c r="C19" s="33">
        <f>B19</f>
        <v/>
      </c>
      <c r="D19" s="33">
        <f>C19*(1+Assumptions!D$69)</f>
        <v/>
      </c>
      <c r="E19" s="33">
        <f>D19*(1+Assumptions!E$69)</f>
        <v/>
      </c>
      <c r="F19" s="33">
        <f>E19*(1+Assumptions!F$69)</f>
        <v/>
      </c>
      <c r="G19" s="33">
        <f>F19*(1+Assumptions!G$69)</f>
        <v/>
      </c>
      <c r="H19" s="12" t="inlineStr">
        <is>
          <t>T-12 actual.</t>
        </is>
      </c>
    </row>
    <row r="20" ht="26" customHeight="1">
      <c r="A20" s="10" t="inlineStr">
        <is>
          <t>Short-Term Lease Premiums</t>
        </is>
      </c>
      <c r="B20" s="44" t="n">
        <v>6440.71</v>
      </c>
      <c r="C20" s="33">
        <f>B20</f>
        <v/>
      </c>
      <c r="D20" s="33">
        <f>C20*(1+Assumptions!D$69)</f>
        <v/>
      </c>
      <c r="E20" s="33">
        <f>D20*(1+Assumptions!E$69)</f>
        <v/>
      </c>
      <c r="F20" s="33">
        <f>E20*(1+Assumptions!F$69)</f>
        <v/>
      </c>
      <c r="G20" s="33">
        <f>F20*(1+Assumptions!G$69)</f>
        <v/>
      </c>
      <c r="H20" s="12" t="inlineStr">
        <is>
          <t>T-12 actual. $75/month on 6-8 month renewals, $50/month on 9-11 month renewals.</t>
        </is>
      </c>
    </row>
    <row r="21" ht="26" customHeight="1">
      <c r="A21" s="10" t="inlineStr">
        <is>
          <t>Lease Termination &amp; Eviction Fees</t>
        </is>
      </c>
      <c r="B21" s="44" t="n">
        <v>7095.96</v>
      </c>
      <c r="C21" s="33">
        <f>4000</f>
        <v/>
      </c>
      <c r="D21" s="33">
        <f>C21*(1+Assumptions!D$69)</f>
        <v/>
      </c>
      <c r="E21" s="33">
        <f>D21*(1+Assumptions!E$69)</f>
        <v/>
      </c>
      <c r="F21" s="33">
        <f>E21*(1+Assumptions!F$69)</f>
        <v/>
      </c>
      <c r="G21" s="33">
        <f>F21*(1+Assumptions!G$69)</f>
        <v/>
      </c>
      <c r="H21" s="12" t="inlineStr">
        <is>
          <t>T-12 $7,096. Haircut — volatile and partly a function of the current resident base.</t>
        </is>
      </c>
    </row>
    <row r="22" ht="26" customHeight="1">
      <c r="A22" s="10" t="inlineStr">
        <is>
          <t>Damage Charges Recovered (net of SODA)</t>
        </is>
      </c>
      <c r="B22" s="44" t="n">
        <v>20467.4</v>
      </c>
      <c r="C22" s="33">
        <f>15000</f>
        <v/>
      </c>
      <c r="D22" s="33">
        <f>C22*(1+Assumptions!D$69)</f>
        <v/>
      </c>
      <c r="E22" s="33">
        <f>D22*(1+Assumptions!E$69)</f>
        <v/>
      </c>
      <c r="F22" s="33">
        <f>E22*(1+Assumptions!F$69)</f>
        <v/>
      </c>
      <c r="G22" s="33">
        <f>F22*(1+Assumptions!G$69)</f>
        <v/>
      </c>
      <c r="H22" s="12" t="inlineStr">
        <is>
          <t>T-12 $20,467. Haircut; should fall as the resident profile improves post-renovation.</t>
        </is>
      </c>
    </row>
    <row r="23" ht="26" customHeight="1">
      <c r="A23" s="10" t="inlineStr">
        <is>
          <t>Miscellaneous &amp; Utility Reimbursement</t>
        </is>
      </c>
      <c r="B23" s="44" t="n">
        <v>6160.780000000001</v>
      </c>
      <c r="C23" s="33">
        <f>5000</f>
        <v/>
      </c>
      <c r="D23" s="33">
        <f>C23*(1+Assumptions!D$69)</f>
        <v/>
      </c>
      <c r="E23" s="33">
        <f>D23*(1+Assumptions!E$69)</f>
        <v/>
      </c>
      <c r="F23" s="33">
        <f>E23*(1+Assumptions!F$69)</f>
        <v/>
      </c>
      <c r="G23" s="33">
        <f>F23*(1+Assumptions!G$69)</f>
        <v/>
      </c>
      <c r="H23" s="12" t="inlineStr">
        <is>
          <t>T-12 actual, lightly haircut.</t>
        </is>
      </c>
    </row>
    <row r="24" ht="26" customHeight="1">
      <c r="A24" s="10" t="inlineStr">
        <is>
          <t>Washer/Dryer Rental</t>
        </is>
      </c>
      <c r="B24" s="44" t="n">
        <v>209</v>
      </c>
      <c r="C24" s="33">
        <f>0</f>
        <v/>
      </c>
      <c r="D24" s="33">
        <f>C24*(1+Assumptions!D$69)</f>
        <v/>
      </c>
      <c r="E24" s="33">
        <f>D24*(1+Assumptions!E$69)</f>
        <v/>
      </c>
      <c r="F24" s="33">
        <f>E24*(1+Assumptions!F$69)</f>
        <v/>
      </c>
      <c r="G24" s="33">
        <f>F24*(1+Assumptions!G$69)</f>
        <v/>
      </c>
      <c r="H24" s="12" t="inlineStr">
        <is>
          <t>Programme discontinued, and in-unit laundry is now monetised through the rent premium. Set to zero to avoid double-counting.</t>
        </is>
      </c>
    </row>
    <row r="25">
      <c r="A25" s="36" t="inlineStr">
        <is>
          <t>Total Other Income</t>
        </is>
      </c>
      <c r="B25" s="39">
        <f>SUM(B12:B24)</f>
        <v/>
      </c>
      <c r="C25" s="39">
        <f>SUM(C12:C24)</f>
        <v/>
      </c>
      <c r="D25" s="39">
        <f>SUM(D12:D24)</f>
        <v/>
      </c>
      <c r="E25" s="39">
        <f>SUM(E12:E24)</f>
        <v/>
      </c>
      <c r="F25" s="39">
        <f>SUM(F12:F24)</f>
        <v/>
      </c>
      <c r="G25" s="39">
        <f>SUM(G12:G24)</f>
        <v/>
      </c>
    </row>
    <row r="26">
      <c r="A26" s="10" t="inlineStr">
        <is>
          <t xml:space="preserve">   Per Unit</t>
        </is>
      </c>
      <c r="B26" s="33">
        <f>B25/Assumptions!$B$19</f>
        <v/>
      </c>
      <c r="C26" s="33">
        <f>C25/Assumptions!$B$19</f>
        <v/>
      </c>
      <c r="D26" s="33">
        <f>D25/Assumptions!$B$19</f>
        <v/>
      </c>
      <c r="E26" s="33">
        <f>E25/Assumptions!$B$19</f>
        <v/>
      </c>
      <c r="F26" s="33">
        <f>F25/Assumptions!$B$19</f>
        <v/>
      </c>
      <c r="G26" s="33">
        <f>G25/Assumptions!$B$19</f>
        <v/>
      </c>
    </row>
    <row r="27">
      <c r="A27" s="10" t="inlineStr">
        <is>
          <t xml:space="preserve">   % of Effective Gross Revenue</t>
        </is>
      </c>
      <c r="C27" s="41">
        <f>C25/'Annual Model'!C33</f>
        <v/>
      </c>
      <c r="D27" s="41">
        <f>D25/'Annual Model'!D33</f>
        <v/>
      </c>
      <c r="E27" s="41">
        <f>E25/'Annual Model'!E33</f>
        <v/>
      </c>
      <c r="F27" s="41">
        <f>F25/'Annual Model'!F33</f>
        <v/>
      </c>
      <c r="G27" s="41">
        <f>G25/'Annual Model'!G33</f>
        <v/>
      </c>
    </row>
    <row r="29" ht="60" customHeight="1">
      <c r="A29" s="12" t="inlineStr">
        <is>
          <t>T-12 total operating other income of $193,598 ($1,641/unit) excludes $4,133 of interest income and treats bad debt as a revenue deduction. CBRE's Acquisition Forecast is $263,803 ($2,236/unit); the ancillary upside underwritten here — fully implementing the technology fee and valet trash charge, and introducing pet rent — is the same upside the OM identifies, phased in over the ramps shown above rather than assumed on day one.</t>
        </is>
      </c>
    </row>
  </sheetData>
  <mergeCells count="1">
    <mergeCell ref="A29:H29"/>
  </mergeCells>
  <printOptions horizontalCentered="0"/>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I1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1" customWidth="1" min="4" max="4"/>
    <col width="11" customWidth="1" min="5" max="5"/>
    <col width="11" customWidth="1" min="6" max="6"/>
    <col width="11" customWidth="1" min="7" max="7"/>
    <col width="11" customWidth="1" min="8" max="8"/>
    <col width="64" customWidth="1" min="9" max="9"/>
  </cols>
  <sheetData>
    <row r="1">
      <c r="A1" s="1" t="inlineStr">
        <is>
          <t>CHATEAU IN THE WOODS  |  4020 Monaco Drive, Indianapolis, IN 46220  |  118 Units</t>
        </is>
      </c>
    </row>
    <row r="2">
      <c r="A2" s="2" t="inlineStr">
        <is>
          <t>Non-Unit Capital Budget — Deferred Maintenance, Building Systems &amp; Amenities</t>
        </is>
      </c>
    </row>
    <row r="3">
      <c r="A3" s="3" t="inlineStr">
        <is>
          <t>Blue = hardcoded input / lever   ·   Black = formula   ·   Green = link to another sheet   ·   Yellow fill = key assumption</t>
        </is>
      </c>
    </row>
    <row r="5">
      <c r="A5" s="8" t="inlineStr">
        <is>
          <t>Item</t>
        </is>
      </c>
      <c r="B5" s="28" t="inlineStr">
        <is>
          <t>Total Cost</t>
        </is>
      </c>
      <c r="C5" s="28" t="inlineStr">
        <is>
          <t>Per Unit</t>
        </is>
      </c>
      <c r="D5" s="28" t="inlineStr">
        <is>
          <t>Yr 1 %</t>
        </is>
      </c>
      <c r="E5" s="28" t="inlineStr">
        <is>
          <t>Yr 2 %</t>
        </is>
      </c>
      <c r="F5" s="28" t="inlineStr">
        <is>
          <t>Yr 3 %</t>
        </is>
      </c>
      <c r="G5" s="28" t="inlineStr">
        <is>
          <t>Yr 4 %</t>
        </is>
      </c>
      <c r="H5" s="28" t="inlineStr">
        <is>
          <t>Yr 5 %</t>
        </is>
      </c>
      <c r="I5" s="8" t="inlineStr">
        <is>
          <t>Scope and source</t>
        </is>
      </c>
    </row>
    <row r="6" ht="40" customHeight="1">
      <c r="A6" s="10" t="inlineStr">
        <is>
          <t>Roof replacement — 3.5 of 5 roofs</t>
        </is>
      </c>
      <c r="B6" s="44" t="n">
        <v>360000</v>
      </c>
      <c r="C6" s="33">
        <f>B6/Assumptions!$B$19</f>
        <v/>
      </c>
      <c r="D6" s="16" t="n">
        <v>0</v>
      </c>
      <c r="E6" s="16" t="n">
        <v>0.4</v>
      </c>
      <c r="F6" s="16" t="n">
        <v>0.4</v>
      </c>
      <c r="G6" s="16" t="n">
        <v>0.2</v>
      </c>
      <c r="H6" s="16" t="n">
        <v>0</v>
      </c>
      <c r="I6" s="12" t="inlineStr">
        <is>
          <t>OM: '3.5 of 5 roofs are older than 2006. They are rubber roofs. Assume they will need to be replaced within 10 years.' Building 4 cost $90,000 in 2020 and half of Building 5 cost $54,507 in 2024. A buyer in five years will price any roof we do not replace, so it is underwritten inside the hold.</t>
        </is>
      </c>
    </row>
    <row r="7" ht="40" customHeight="1">
      <c r="A7" s="10" t="inlineStr">
        <is>
          <t>Asphalt patch, sealcoat &amp; stripe</t>
        </is>
      </c>
      <c r="B7" s="44" t="n">
        <v>150000</v>
      </c>
      <c r="C7" s="33">
        <f>B7/Assumptions!$B$19</f>
        <v/>
      </c>
      <c r="D7" s="16" t="n">
        <v>1</v>
      </c>
      <c r="E7" s="16" t="n">
        <v>0</v>
      </c>
      <c r="F7" s="16" t="n">
        <v>0</v>
      </c>
      <c r="G7" s="16" t="n">
        <v>0</v>
      </c>
      <c r="H7" s="16" t="n">
        <v>0</v>
      </c>
      <c r="I7" s="12" t="inlineStr">
        <is>
          <t>OM immediate need: parking lot and carport areas. The property spent $34,535 on concrete/asphalt in the T-12 alone and $38,749 in 2022 — patch-and-repair, not a programme.</t>
        </is>
      </c>
    </row>
    <row r="8" ht="40" customHeight="1">
      <c r="A8" s="10" t="inlineStr">
        <is>
          <t>Sump pumps (4) &amp; patio drain cleanout</t>
        </is>
      </c>
      <c r="B8" s="44" t="n">
        <v>40000</v>
      </c>
      <c r="C8" s="33">
        <f>B8/Assumptions!$B$19</f>
        <v/>
      </c>
      <c r="D8" s="16" t="n">
        <v>1</v>
      </c>
      <c r="E8" s="16" t="n">
        <v>0</v>
      </c>
      <c r="F8" s="16" t="n">
        <v>0</v>
      </c>
      <c r="G8" s="16" t="n">
        <v>0</v>
      </c>
      <c r="H8" s="16" t="n">
        <v>0</v>
      </c>
      <c r="I8" s="12" t="inlineStr">
        <is>
          <t>OM immediate need: 37 below-grade units, 4 sump pumps needed. Water intrusion risk in below-grade units is a live liability, not a cosmetic item.</t>
        </is>
      </c>
    </row>
    <row r="9" ht="40" customHeight="1">
      <c r="A9" s="10" t="inlineStr">
        <is>
          <t>Window &amp; sliding patio door glass</t>
        </is>
      </c>
      <c r="B9" s="44" t="n">
        <v>150000</v>
      </c>
      <c r="C9" s="33">
        <f>B9/Assumptions!$B$19</f>
        <v/>
      </c>
      <c r="D9" s="16" t="n">
        <v>0.34</v>
      </c>
      <c r="E9" s="16" t="n">
        <v>0.33</v>
      </c>
      <c r="F9" s="16" t="n">
        <v>0.33</v>
      </c>
      <c r="G9" s="16" t="n">
        <v>0</v>
      </c>
      <c r="H9" s="16" t="n">
        <v>0</v>
      </c>
      <c r="I9" s="12" t="inlineStr">
        <is>
          <t>OM: original aluminium sliders and sliding patio doors, fogged glass replaced on turns. Executed with the interior renovation on each turn.</t>
        </is>
      </c>
    </row>
    <row r="10" ht="40" customHeight="1">
      <c r="A10" s="10" t="inlineStr">
        <is>
          <t>Building entry system upgrades (20 entries)</t>
        </is>
      </c>
      <c r="B10" s="44" t="n">
        <v>60000</v>
      </c>
      <c r="C10" s="33">
        <f>B10/Assumptions!$B$19</f>
        <v/>
      </c>
      <c r="D10" s="16" t="n">
        <v>0.5</v>
      </c>
      <c r="E10" s="16" t="n">
        <v>0.5</v>
      </c>
      <c r="F10" s="16" t="n">
        <v>0</v>
      </c>
      <c r="G10" s="16" t="n">
        <v>0</v>
      </c>
      <c r="H10" s="16" t="n">
        <v>0</v>
      </c>
      <c r="I10" s="12" t="inlineStr">
        <is>
          <t>OM value-add item: upgrade building entry systems across the 20 building entries.</t>
        </is>
      </c>
    </row>
    <row r="11" ht="40" customHeight="1">
      <c r="A11" s="10" t="inlineStr">
        <is>
          <t>Clubhouse, business centre &amp; fitness refresh</t>
        </is>
      </c>
      <c r="B11" s="44" t="n">
        <v>75000</v>
      </c>
      <c r="C11" s="33">
        <f>B11/Assumptions!$B$19</f>
        <v/>
      </c>
      <c r="D11" s="16" t="n">
        <v>1</v>
      </c>
      <c r="E11" s="16" t="n">
        <v>0</v>
      </c>
      <c r="F11" s="16" t="n">
        <v>0</v>
      </c>
      <c r="G11" s="16" t="n">
        <v>0</v>
      </c>
      <c r="H11" s="16" t="n">
        <v>0</v>
      </c>
      <c r="I11" s="12" t="inlineStr">
        <is>
          <t>OM suggested amenity: update clubhouse furniture and decor. Required to support renovated rents.</t>
        </is>
      </c>
    </row>
    <row r="12" ht="40" customHeight="1">
      <c r="A12" s="10" t="inlineStr">
        <is>
          <t>Dog park, grilling stations &amp; pool deck seating</t>
        </is>
      </c>
      <c r="B12" s="44" t="n">
        <v>50000</v>
      </c>
      <c r="C12" s="33">
        <f>B12/Assumptions!$B$19</f>
        <v/>
      </c>
      <c r="D12" s="16" t="n">
        <v>1</v>
      </c>
      <c r="E12" s="16" t="n">
        <v>0</v>
      </c>
      <c r="F12" s="16" t="n">
        <v>0</v>
      </c>
      <c r="G12" s="16" t="n">
        <v>0</v>
      </c>
      <c r="H12" s="16" t="n">
        <v>0</v>
      </c>
      <c r="I12" s="12" t="inlineStr">
        <is>
          <t>OM suggested amenities. Low cost, high visibility on tours; supports the rent premium.</t>
        </is>
      </c>
    </row>
    <row r="13" ht="40" customHeight="1">
      <c r="A13" s="10" t="inlineStr">
        <is>
          <t>Exterior paint, landscaping &amp; signage refresh</t>
        </is>
      </c>
      <c r="B13" s="44" t="n">
        <v>100000</v>
      </c>
      <c r="C13" s="33">
        <f>B13/Assumptions!$B$19</f>
        <v/>
      </c>
      <c r="D13" s="16" t="n">
        <v>0.5</v>
      </c>
      <c r="E13" s="16" t="n">
        <v>0.5</v>
      </c>
      <c r="F13" s="16" t="n">
        <v>0</v>
      </c>
      <c r="G13" s="16" t="n">
        <v>0</v>
      </c>
      <c r="H13" s="16" t="n">
        <v>0</v>
      </c>
      <c r="I13" s="12" t="inlineStr">
        <is>
          <t>Curb appeal. Siding is fibre cement and was replaced in 2020 ($225,000), so this is paint and grounds, not envelope.</t>
        </is>
      </c>
    </row>
    <row r="14">
      <c r="A14" s="36" t="inlineStr">
        <is>
          <t>Total Non-Unit Capital</t>
        </is>
      </c>
      <c r="B14" s="39">
        <f>SUM(B6:B13)</f>
        <v/>
      </c>
      <c r="C14" s="39">
        <f>B14/Assumptions!$B$19</f>
        <v/>
      </c>
      <c r="D14" s="39">
        <f>SUMPRODUCT($B$6:$B$13,D6:D13)</f>
        <v/>
      </c>
      <c r="E14" s="39">
        <f>SUMPRODUCT($B$6:$B$13,E6:E13)</f>
        <v/>
      </c>
      <c r="F14" s="39">
        <f>SUMPRODUCT($B$6:$B$13,F6:F13)</f>
        <v/>
      </c>
      <c r="G14" s="39">
        <f>SUMPRODUCT($B$6:$B$13,G6:G13)</f>
        <v/>
      </c>
      <c r="H14" s="39">
        <f>SUMPRODUCT($B$6:$B$13,H6:H13)</f>
        <v/>
      </c>
    </row>
    <row r="15">
      <c r="A15" s="3" t="inlineStr">
        <is>
          <t xml:space="preserve">   Check: phasing sums to 100%</t>
        </is>
      </c>
      <c r="B15" s="41">
        <f>SUM(D14:H14)/B14</f>
        <v/>
      </c>
    </row>
    <row r="17" ht="60" customHeight="1">
      <c r="A17" s="12" t="inlineStr">
        <is>
          <t>Excluded from this budget by choice, and therefore from the returns: converting the Building 4042 maintenance storage into two additional apartments, and converting the back 9 carports to garages plus a new maintenance shop. Both are identified in the OM and both are genuine, but at roughly $310,000 and $180,000 respectively they return only about 5-10% on cost against a 12.7% interior programme. They are upside we would pursue with a second look at scope and pricing, not underwritten value.</t>
        </is>
      </c>
    </row>
  </sheetData>
  <mergeCells count="1">
    <mergeCell ref="A17:I17"/>
  </mergeCells>
  <printOptions horizontalCentered="0"/>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P7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8" customWidth="1" min="3" max="3"/>
    <col width="10" customWidth="1" min="4" max="4"/>
    <col width="10" customWidth="1" min="5" max="5"/>
    <col width="11" customWidth="1" min="6" max="6"/>
    <col width="10" customWidth="1" min="7" max="7"/>
    <col width="10" customWidth="1" min="8" max="8"/>
    <col width="11" customWidth="1" min="9" max="9"/>
    <col width="11" customWidth="1" min="10" max="10"/>
    <col width="12" customWidth="1" min="11" max="11"/>
    <col width="13" customWidth="1" min="12" max="12"/>
    <col width="11" customWidth="1" min="13" max="13"/>
    <col width="11" customWidth="1" min="14" max="14"/>
    <col width="12" customWidth="1" min="15" max="15"/>
    <col width="13" customWidth="1" min="16" max="16"/>
  </cols>
  <sheetData>
    <row r="1">
      <c r="A1" s="1" t="inlineStr">
        <is>
          <t>CHATEAU IN THE WOODS  |  4020 Monaco Drive, Indianapolis, IN 46220  |  118 Units</t>
        </is>
      </c>
    </row>
    <row r="2">
      <c r="A2" s="2" t="inlineStr">
        <is>
          <t>60-Month Two-Track Renovation Schedule — Delivery, Premium Capture, Capital and Downtime</t>
        </is>
      </c>
    </row>
    <row r="3">
      <c r="A3" s="3" t="inlineStr">
        <is>
          <t>Blue = hardcoded input / lever   ·   Black = formula   ·   Green = link to another sheet   ·   Yellow fill = key assumption</t>
        </is>
      </c>
    </row>
    <row r="5" ht="32" customHeight="1">
      <c r="A5" s="31" t="inlineStr">
        <is>
          <t>Month</t>
        </is>
      </c>
      <c r="B5" s="31" t="inlineStr">
        <is>
          <t>Date</t>
        </is>
      </c>
      <c r="C5" s="31" t="inlineStr">
        <is>
          <t>Model
Year</t>
        </is>
      </c>
      <c r="D5" s="31" t="inlineStr">
        <is>
          <t>A: Units
Done</t>
        </is>
      </c>
      <c r="E5" s="31" t="inlineStr">
        <is>
          <t>A: Cum.
Done</t>
        </is>
      </c>
      <c r="F5" s="31" t="inlineStr">
        <is>
          <t>A: Units
Earning</t>
        </is>
      </c>
      <c r="G5" s="31" t="inlineStr">
        <is>
          <t>B: Units
Done</t>
        </is>
      </c>
      <c r="H5" s="31" t="inlineStr">
        <is>
          <t>B: Cum.
Done</t>
        </is>
      </c>
      <c r="I5" s="31" t="inlineStr">
        <is>
          <t>B: Units
Earning</t>
        </is>
      </c>
      <c r="J5" s="31" t="inlineStr">
        <is>
          <t>Total
Renovated</t>
        </is>
      </c>
      <c r="K5" s="31" t="inlineStr">
        <is>
          <t>Units Earning
Premium</t>
        </is>
      </c>
      <c r="L5" s="31" t="inlineStr">
        <is>
          <t>Premium in
Force ($/mo)</t>
        </is>
      </c>
      <c r="M5" s="31" t="inlineStr">
        <is>
          <t>Track A
Capex</t>
        </is>
      </c>
      <c r="N5" s="31" t="inlineStr">
        <is>
          <t>Track B
Capex</t>
        </is>
      </c>
      <c r="O5" s="31" t="inlineStr">
        <is>
          <t>Total
Capex</t>
        </is>
      </c>
      <c r="P5" s="31" t="inlineStr">
        <is>
          <t>Downtime Vac.
(% of GPR)</t>
        </is>
      </c>
    </row>
    <row r="6">
      <c r="A6" s="21" t="n">
        <v>1</v>
      </c>
      <c r="B6" s="34">
        <f>EDATE(Assumptions!$B$12,A6-1)</f>
        <v/>
      </c>
      <c r="C6" s="21">
        <f>ROUNDUP(A6/12,0)</f>
        <v/>
      </c>
      <c r="D6" s="21">
        <f>IF(A6&lt;Assumptions!$B$36,0,MAX(0,MIN(Assumptions!$B$37,Assumptions!$B$35-0)))</f>
        <v/>
      </c>
      <c r="E6" s="21">
        <f>0+D6</f>
        <v/>
      </c>
      <c r="F6" s="21">
        <f>IF(A6-Assumptions!$B$41&lt;1,0,INDEX($E$6:$E$65,A6-Assumptions!$B$41))</f>
        <v/>
      </c>
      <c r="G6" s="21">
        <f>IF(A6&lt;Assumptions!$B$45,0,MAX(0,MIN(Assumptions!$B$46,Assumptions!$B$44-0)))</f>
        <v/>
      </c>
      <c r="H6" s="21">
        <f>0+G6</f>
        <v/>
      </c>
      <c r="I6" s="21">
        <f>IF(A6-Assumptions!$B$52&lt;1,0,INDEX($H$6:$H$65,A6-Assumptions!$B$52))</f>
        <v/>
      </c>
      <c r="J6" s="21">
        <f>E6+H6</f>
        <v/>
      </c>
      <c r="K6" s="21">
        <f>F6+I6</f>
        <v/>
      </c>
      <c r="L6" s="33">
        <f>F6*Assumptions!$B$39+I6*Assumptions!$B$50</f>
        <v/>
      </c>
      <c r="M6" s="33">
        <f>D6*Assumptions!$B$38</f>
        <v/>
      </c>
      <c r="N6" s="33">
        <f>G6*Assumptions!$B$49</f>
        <v/>
      </c>
      <c r="O6" s="33">
        <f>M6+N6</f>
        <v/>
      </c>
      <c r="P6" s="59">
        <f>(D6*Assumptions!$B$40+G6*Assumptions!$B$51)/30/Assumptions!$B$19</f>
        <v/>
      </c>
    </row>
    <row r="7">
      <c r="A7" s="21" t="n">
        <v>2</v>
      </c>
      <c r="B7" s="34">
        <f>EDATE(Assumptions!$B$12,A7-1)</f>
        <v/>
      </c>
      <c r="C7" s="21">
        <f>ROUNDUP(A7/12,0)</f>
        <v/>
      </c>
      <c r="D7" s="21">
        <f>IF(A7&lt;Assumptions!$B$36,0,MAX(0,MIN(Assumptions!$B$37,Assumptions!$B$35-E6)))</f>
        <v/>
      </c>
      <c r="E7" s="21">
        <f>E6+D7</f>
        <v/>
      </c>
      <c r="F7" s="21">
        <f>IF(A7-Assumptions!$B$41&lt;1,0,INDEX($E$6:$E$65,A7-Assumptions!$B$41))</f>
        <v/>
      </c>
      <c r="G7" s="21">
        <f>IF(A7&lt;Assumptions!$B$45,0,MAX(0,MIN(Assumptions!$B$46,Assumptions!$B$44-H6)))</f>
        <v/>
      </c>
      <c r="H7" s="21">
        <f>H6+G7</f>
        <v/>
      </c>
      <c r="I7" s="21">
        <f>IF(A7-Assumptions!$B$52&lt;1,0,INDEX($H$6:$H$65,A7-Assumptions!$B$52))</f>
        <v/>
      </c>
      <c r="J7" s="21">
        <f>E7+H7</f>
        <v/>
      </c>
      <c r="K7" s="21">
        <f>F7+I7</f>
        <v/>
      </c>
      <c r="L7" s="33">
        <f>F7*Assumptions!$B$39+I7*Assumptions!$B$50</f>
        <v/>
      </c>
      <c r="M7" s="33">
        <f>D7*Assumptions!$B$38</f>
        <v/>
      </c>
      <c r="N7" s="33">
        <f>G7*Assumptions!$B$49</f>
        <v/>
      </c>
      <c r="O7" s="33">
        <f>M7+N7</f>
        <v/>
      </c>
      <c r="P7" s="59">
        <f>(D7*Assumptions!$B$40+G7*Assumptions!$B$51)/30/Assumptions!$B$19</f>
        <v/>
      </c>
    </row>
    <row r="8">
      <c r="A8" s="21" t="n">
        <v>3</v>
      </c>
      <c r="B8" s="34">
        <f>EDATE(Assumptions!$B$12,A8-1)</f>
        <v/>
      </c>
      <c r="C8" s="21">
        <f>ROUNDUP(A8/12,0)</f>
        <v/>
      </c>
      <c r="D8" s="21">
        <f>IF(A8&lt;Assumptions!$B$36,0,MAX(0,MIN(Assumptions!$B$37,Assumptions!$B$35-E7)))</f>
        <v/>
      </c>
      <c r="E8" s="21">
        <f>E7+D8</f>
        <v/>
      </c>
      <c r="F8" s="21">
        <f>IF(A8-Assumptions!$B$41&lt;1,0,INDEX($E$6:$E$65,A8-Assumptions!$B$41))</f>
        <v/>
      </c>
      <c r="G8" s="21">
        <f>IF(A8&lt;Assumptions!$B$45,0,MAX(0,MIN(Assumptions!$B$46,Assumptions!$B$44-H7)))</f>
        <v/>
      </c>
      <c r="H8" s="21">
        <f>H7+G8</f>
        <v/>
      </c>
      <c r="I8" s="21">
        <f>IF(A8-Assumptions!$B$52&lt;1,0,INDEX($H$6:$H$65,A8-Assumptions!$B$52))</f>
        <v/>
      </c>
      <c r="J8" s="21">
        <f>E8+H8</f>
        <v/>
      </c>
      <c r="K8" s="21">
        <f>F8+I8</f>
        <v/>
      </c>
      <c r="L8" s="33">
        <f>F8*Assumptions!$B$39+I8*Assumptions!$B$50</f>
        <v/>
      </c>
      <c r="M8" s="33">
        <f>D8*Assumptions!$B$38</f>
        <v/>
      </c>
      <c r="N8" s="33">
        <f>G8*Assumptions!$B$49</f>
        <v/>
      </c>
      <c r="O8" s="33">
        <f>M8+N8</f>
        <v/>
      </c>
      <c r="P8" s="59">
        <f>(D8*Assumptions!$B$40+G8*Assumptions!$B$51)/30/Assumptions!$B$19</f>
        <v/>
      </c>
    </row>
    <row r="9">
      <c r="A9" s="21" t="n">
        <v>4</v>
      </c>
      <c r="B9" s="34">
        <f>EDATE(Assumptions!$B$12,A9-1)</f>
        <v/>
      </c>
      <c r="C9" s="21">
        <f>ROUNDUP(A9/12,0)</f>
        <v/>
      </c>
      <c r="D9" s="21">
        <f>IF(A9&lt;Assumptions!$B$36,0,MAX(0,MIN(Assumptions!$B$37,Assumptions!$B$35-E8)))</f>
        <v/>
      </c>
      <c r="E9" s="21">
        <f>E8+D9</f>
        <v/>
      </c>
      <c r="F9" s="21">
        <f>IF(A9-Assumptions!$B$41&lt;1,0,INDEX($E$6:$E$65,A9-Assumptions!$B$41))</f>
        <v/>
      </c>
      <c r="G9" s="21">
        <f>IF(A9&lt;Assumptions!$B$45,0,MAX(0,MIN(Assumptions!$B$46,Assumptions!$B$44-H8)))</f>
        <v/>
      </c>
      <c r="H9" s="21">
        <f>H8+G9</f>
        <v/>
      </c>
      <c r="I9" s="21">
        <f>IF(A9-Assumptions!$B$52&lt;1,0,INDEX($H$6:$H$65,A9-Assumptions!$B$52))</f>
        <v/>
      </c>
      <c r="J9" s="21">
        <f>E9+H9</f>
        <v/>
      </c>
      <c r="K9" s="21">
        <f>F9+I9</f>
        <v/>
      </c>
      <c r="L9" s="33">
        <f>F9*Assumptions!$B$39+I9*Assumptions!$B$50</f>
        <v/>
      </c>
      <c r="M9" s="33">
        <f>D9*Assumptions!$B$38</f>
        <v/>
      </c>
      <c r="N9" s="33">
        <f>G9*Assumptions!$B$49</f>
        <v/>
      </c>
      <c r="O9" s="33">
        <f>M9+N9</f>
        <v/>
      </c>
      <c r="P9" s="59">
        <f>(D9*Assumptions!$B$40+G9*Assumptions!$B$51)/30/Assumptions!$B$19</f>
        <v/>
      </c>
    </row>
    <row r="10">
      <c r="A10" s="21" t="n">
        <v>5</v>
      </c>
      <c r="B10" s="34">
        <f>EDATE(Assumptions!$B$12,A10-1)</f>
        <v/>
      </c>
      <c r="C10" s="21">
        <f>ROUNDUP(A10/12,0)</f>
        <v/>
      </c>
      <c r="D10" s="21">
        <f>IF(A10&lt;Assumptions!$B$36,0,MAX(0,MIN(Assumptions!$B$37,Assumptions!$B$35-E9)))</f>
        <v/>
      </c>
      <c r="E10" s="21">
        <f>E9+D10</f>
        <v/>
      </c>
      <c r="F10" s="21">
        <f>IF(A10-Assumptions!$B$41&lt;1,0,INDEX($E$6:$E$65,A10-Assumptions!$B$41))</f>
        <v/>
      </c>
      <c r="G10" s="21">
        <f>IF(A10&lt;Assumptions!$B$45,0,MAX(0,MIN(Assumptions!$B$46,Assumptions!$B$44-H9)))</f>
        <v/>
      </c>
      <c r="H10" s="21">
        <f>H9+G10</f>
        <v/>
      </c>
      <c r="I10" s="21">
        <f>IF(A10-Assumptions!$B$52&lt;1,0,INDEX($H$6:$H$65,A10-Assumptions!$B$52))</f>
        <v/>
      </c>
      <c r="J10" s="21">
        <f>E10+H10</f>
        <v/>
      </c>
      <c r="K10" s="21">
        <f>F10+I10</f>
        <v/>
      </c>
      <c r="L10" s="33">
        <f>F10*Assumptions!$B$39+I10*Assumptions!$B$50</f>
        <v/>
      </c>
      <c r="M10" s="33">
        <f>D10*Assumptions!$B$38</f>
        <v/>
      </c>
      <c r="N10" s="33">
        <f>G10*Assumptions!$B$49</f>
        <v/>
      </c>
      <c r="O10" s="33">
        <f>M10+N10</f>
        <v/>
      </c>
      <c r="P10" s="59">
        <f>(D10*Assumptions!$B$40+G10*Assumptions!$B$51)/30/Assumptions!$B$19</f>
        <v/>
      </c>
    </row>
    <row r="11">
      <c r="A11" s="21" t="n">
        <v>6</v>
      </c>
      <c r="B11" s="34">
        <f>EDATE(Assumptions!$B$12,A11-1)</f>
        <v/>
      </c>
      <c r="C11" s="21">
        <f>ROUNDUP(A11/12,0)</f>
        <v/>
      </c>
      <c r="D11" s="21">
        <f>IF(A11&lt;Assumptions!$B$36,0,MAX(0,MIN(Assumptions!$B$37,Assumptions!$B$35-E10)))</f>
        <v/>
      </c>
      <c r="E11" s="21">
        <f>E10+D11</f>
        <v/>
      </c>
      <c r="F11" s="21">
        <f>IF(A11-Assumptions!$B$41&lt;1,0,INDEX($E$6:$E$65,A11-Assumptions!$B$41))</f>
        <v/>
      </c>
      <c r="G11" s="21">
        <f>IF(A11&lt;Assumptions!$B$45,0,MAX(0,MIN(Assumptions!$B$46,Assumptions!$B$44-H10)))</f>
        <v/>
      </c>
      <c r="H11" s="21">
        <f>H10+G11</f>
        <v/>
      </c>
      <c r="I11" s="21">
        <f>IF(A11-Assumptions!$B$52&lt;1,0,INDEX($H$6:$H$65,A11-Assumptions!$B$52))</f>
        <v/>
      </c>
      <c r="J11" s="21">
        <f>E11+H11</f>
        <v/>
      </c>
      <c r="K11" s="21">
        <f>F11+I11</f>
        <v/>
      </c>
      <c r="L11" s="33">
        <f>F11*Assumptions!$B$39+I11*Assumptions!$B$50</f>
        <v/>
      </c>
      <c r="M11" s="33">
        <f>D11*Assumptions!$B$38</f>
        <v/>
      </c>
      <c r="N11" s="33">
        <f>G11*Assumptions!$B$49</f>
        <v/>
      </c>
      <c r="O11" s="33">
        <f>M11+N11</f>
        <v/>
      </c>
      <c r="P11" s="59">
        <f>(D11*Assumptions!$B$40+G11*Assumptions!$B$51)/30/Assumptions!$B$19</f>
        <v/>
      </c>
    </row>
    <row r="12">
      <c r="A12" s="21" t="n">
        <v>7</v>
      </c>
      <c r="B12" s="34">
        <f>EDATE(Assumptions!$B$12,A12-1)</f>
        <v/>
      </c>
      <c r="C12" s="21">
        <f>ROUNDUP(A12/12,0)</f>
        <v/>
      </c>
      <c r="D12" s="21">
        <f>IF(A12&lt;Assumptions!$B$36,0,MAX(0,MIN(Assumptions!$B$37,Assumptions!$B$35-E11)))</f>
        <v/>
      </c>
      <c r="E12" s="21">
        <f>E11+D12</f>
        <v/>
      </c>
      <c r="F12" s="21">
        <f>IF(A12-Assumptions!$B$41&lt;1,0,INDEX($E$6:$E$65,A12-Assumptions!$B$41))</f>
        <v/>
      </c>
      <c r="G12" s="21">
        <f>IF(A12&lt;Assumptions!$B$45,0,MAX(0,MIN(Assumptions!$B$46,Assumptions!$B$44-H11)))</f>
        <v/>
      </c>
      <c r="H12" s="21">
        <f>H11+G12</f>
        <v/>
      </c>
      <c r="I12" s="21">
        <f>IF(A12-Assumptions!$B$52&lt;1,0,INDEX($H$6:$H$65,A12-Assumptions!$B$52))</f>
        <v/>
      </c>
      <c r="J12" s="21">
        <f>E12+H12</f>
        <v/>
      </c>
      <c r="K12" s="21">
        <f>F12+I12</f>
        <v/>
      </c>
      <c r="L12" s="33">
        <f>F12*Assumptions!$B$39+I12*Assumptions!$B$50</f>
        <v/>
      </c>
      <c r="M12" s="33">
        <f>D12*Assumptions!$B$38</f>
        <v/>
      </c>
      <c r="N12" s="33">
        <f>G12*Assumptions!$B$49</f>
        <v/>
      </c>
      <c r="O12" s="33">
        <f>M12+N12</f>
        <v/>
      </c>
      <c r="P12" s="59">
        <f>(D12*Assumptions!$B$40+G12*Assumptions!$B$51)/30/Assumptions!$B$19</f>
        <v/>
      </c>
    </row>
    <row r="13">
      <c r="A13" s="21" t="n">
        <v>8</v>
      </c>
      <c r="B13" s="34">
        <f>EDATE(Assumptions!$B$12,A13-1)</f>
        <v/>
      </c>
      <c r="C13" s="21">
        <f>ROUNDUP(A13/12,0)</f>
        <v/>
      </c>
      <c r="D13" s="21">
        <f>IF(A13&lt;Assumptions!$B$36,0,MAX(0,MIN(Assumptions!$B$37,Assumptions!$B$35-E12)))</f>
        <v/>
      </c>
      <c r="E13" s="21">
        <f>E12+D13</f>
        <v/>
      </c>
      <c r="F13" s="21">
        <f>IF(A13-Assumptions!$B$41&lt;1,0,INDEX($E$6:$E$65,A13-Assumptions!$B$41))</f>
        <v/>
      </c>
      <c r="G13" s="21">
        <f>IF(A13&lt;Assumptions!$B$45,0,MAX(0,MIN(Assumptions!$B$46,Assumptions!$B$44-H12)))</f>
        <v/>
      </c>
      <c r="H13" s="21">
        <f>H12+G13</f>
        <v/>
      </c>
      <c r="I13" s="21">
        <f>IF(A13-Assumptions!$B$52&lt;1,0,INDEX($H$6:$H$65,A13-Assumptions!$B$52))</f>
        <v/>
      </c>
      <c r="J13" s="21">
        <f>E13+H13</f>
        <v/>
      </c>
      <c r="K13" s="21">
        <f>F13+I13</f>
        <v/>
      </c>
      <c r="L13" s="33">
        <f>F13*Assumptions!$B$39+I13*Assumptions!$B$50</f>
        <v/>
      </c>
      <c r="M13" s="33">
        <f>D13*Assumptions!$B$38</f>
        <v/>
      </c>
      <c r="N13" s="33">
        <f>G13*Assumptions!$B$49</f>
        <v/>
      </c>
      <c r="O13" s="33">
        <f>M13+N13</f>
        <v/>
      </c>
      <c r="P13" s="59">
        <f>(D13*Assumptions!$B$40+G13*Assumptions!$B$51)/30/Assumptions!$B$19</f>
        <v/>
      </c>
    </row>
    <row r="14">
      <c r="A14" s="21" t="n">
        <v>9</v>
      </c>
      <c r="B14" s="34">
        <f>EDATE(Assumptions!$B$12,A14-1)</f>
        <v/>
      </c>
      <c r="C14" s="21">
        <f>ROUNDUP(A14/12,0)</f>
        <v/>
      </c>
      <c r="D14" s="21">
        <f>IF(A14&lt;Assumptions!$B$36,0,MAX(0,MIN(Assumptions!$B$37,Assumptions!$B$35-E13)))</f>
        <v/>
      </c>
      <c r="E14" s="21">
        <f>E13+D14</f>
        <v/>
      </c>
      <c r="F14" s="21">
        <f>IF(A14-Assumptions!$B$41&lt;1,0,INDEX($E$6:$E$65,A14-Assumptions!$B$41))</f>
        <v/>
      </c>
      <c r="G14" s="21">
        <f>IF(A14&lt;Assumptions!$B$45,0,MAX(0,MIN(Assumptions!$B$46,Assumptions!$B$44-H13)))</f>
        <v/>
      </c>
      <c r="H14" s="21">
        <f>H13+G14</f>
        <v/>
      </c>
      <c r="I14" s="21">
        <f>IF(A14-Assumptions!$B$52&lt;1,0,INDEX($H$6:$H$65,A14-Assumptions!$B$52))</f>
        <v/>
      </c>
      <c r="J14" s="21">
        <f>E14+H14</f>
        <v/>
      </c>
      <c r="K14" s="21">
        <f>F14+I14</f>
        <v/>
      </c>
      <c r="L14" s="33">
        <f>F14*Assumptions!$B$39+I14*Assumptions!$B$50</f>
        <v/>
      </c>
      <c r="M14" s="33">
        <f>D14*Assumptions!$B$38</f>
        <v/>
      </c>
      <c r="N14" s="33">
        <f>G14*Assumptions!$B$49</f>
        <v/>
      </c>
      <c r="O14" s="33">
        <f>M14+N14</f>
        <v/>
      </c>
      <c r="P14" s="59">
        <f>(D14*Assumptions!$B$40+G14*Assumptions!$B$51)/30/Assumptions!$B$19</f>
        <v/>
      </c>
    </row>
    <row r="15">
      <c r="A15" s="21" t="n">
        <v>10</v>
      </c>
      <c r="B15" s="34">
        <f>EDATE(Assumptions!$B$12,A15-1)</f>
        <v/>
      </c>
      <c r="C15" s="21">
        <f>ROUNDUP(A15/12,0)</f>
        <v/>
      </c>
      <c r="D15" s="21">
        <f>IF(A15&lt;Assumptions!$B$36,0,MAX(0,MIN(Assumptions!$B$37,Assumptions!$B$35-E14)))</f>
        <v/>
      </c>
      <c r="E15" s="21">
        <f>E14+D15</f>
        <v/>
      </c>
      <c r="F15" s="21">
        <f>IF(A15-Assumptions!$B$41&lt;1,0,INDEX($E$6:$E$65,A15-Assumptions!$B$41))</f>
        <v/>
      </c>
      <c r="G15" s="21">
        <f>IF(A15&lt;Assumptions!$B$45,0,MAX(0,MIN(Assumptions!$B$46,Assumptions!$B$44-H14)))</f>
        <v/>
      </c>
      <c r="H15" s="21">
        <f>H14+G15</f>
        <v/>
      </c>
      <c r="I15" s="21">
        <f>IF(A15-Assumptions!$B$52&lt;1,0,INDEX($H$6:$H$65,A15-Assumptions!$B$52))</f>
        <v/>
      </c>
      <c r="J15" s="21">
        <f>E15+H15</f>
        <v/>
      </c>
      <c r="K15" s="21">
        <f>F15+I15</f>
        <v/>
      </c>
      <c r="L15" s="33">
        <f>F15*Assumptions!$B$39+I15*Assumptions!$B$50</f>
        <v/>
      </c>
      <c r="M15" s="33">
        <f>D15*Assumptions!$B$38</f>
        <v/>
      </c>
      <c r="N15" s="33">
        <f>G15*Assumptions!$B$49</f>
        <v/>
      </c>
      <c r="O15" s="33">
        <f>M15+N15</f>
        <v/>
      </c>
      <c r="P15" s="59">
        <f>(D15*Assumptions!$B$40+G15*Assumptions!$B$51)/30/Assumptions!$B$19</f>
        <v/>
      </c>
    </row>
    <row r="16">
      <c r="A16" s="21" t="n">
        <v>11</v>
      </c>
      <c r="B16" s="34">
        <f>EDATE(Assumptions!$B$12,A16-1)</f>
        <v/>
      </c>
      <c r="C16" s="21">
        <f>ROUNDUP(A16/12,0)</f>
        <v/>
      </c>
      <c r="D16" s="21">
        <f>IF(A16&lt;Assumptions!$B$36,0,MAX(0,MIN(Assumptions!$B$37,Assumptions!$B$35-E15)))</f>
        <v/>
      </c>
      <c r="E16" s="21">
        <f>E15+D16</f>
        <v/>
      </c>
      <c r="F16" s="21">
        <f>IF(A16-Assumptions!$B$41&lt;1,0,INDEX($E$6:$E$65,A16-Assumptions!$B$41))</f>
        <v/>
      </c>
      <c r="G16" s="21">
        <f>IF(A16&lt;Assumptions!$B$45,0,MAX(0,MIN(Assumptions!$B$46,Assumptions!$B$44-H15)))</f>
        <v/>
      </c>
      <c r="H16" s="21">
        <f>H15+G16</f>
        <v/>
      </c>
      <c r="I16" s="21">
        <f>IF(A16-Assumptions!$B$52&lt;1,0,INDEX($H$6:$H$65,A16-Assumptions!$B$52))</f>
        <v/>
      </c>
      <c r="J16" s="21">
        <f>E16+H16</f>
        <v/>
      </c>
      <c r="K16" s="21">
        <f>F16+I16</f>
        <v/>
      </c>
      <c r="L16" s="33">
        <f>F16*Assumptions!$B$39+I16*Assumptions!$B$50</f>
        <v/>
      </c>
      <c r="M16" s="33">
        <f>D16*Assumptions!$B$38</f>
        <v/>
      </c>
      <c r="N16" s="33">
        <f>G16*Assumptions!$B$49</f>
        <v/>
      </c>
      <c r="O16" s="33">
        <f>M16+N16</f>
        <v/>
      </c>
      <c r="P16" s="59">
        <f>(D16*Assumptions!$B$40+G16*Assumptions!$B$51)/30/Assumptions!$B$19</f>
        <v/>
      </c>
    </row>
    <row r="17">
      <c r="A17" s="21" t="n">
        <v>12</v>
      </c>
      <c r="B17" s="34">
        <f>EDATE(Assumptions!$B$12,A17-1)</f>
        <v/>
      </c>
      <c r="C17" s="21">
        <f>ROUNDUP(A17/12,0)</f>
        <v/>
      </c>
      <c r="D17" s="21">
        <f>IF(A17&lt;Assumptions!$B$36,0,MAX(0,MIN(Assumptions!$B$37,Assumptions!$B$35-E16)))</f>
        <v/>
      </c>
      <c r="E17" s="21">
        <f>E16+D17</f>
        <v/>
      </c>
      <c r="F17" s="21">
        <f>IF(A17-Assumptions!$B$41&lt;1,0,INDEX($E$6:$E$65,A17-Assumptions!$B$41))</f>
        <v/>
      </c>
      <c r="G17" s="21">
        <f>IF(A17&lt;Assumptions!$B$45,0,MAX(0,MIN(Assumptions!$B$46,Assumptions!$B$44-H16)))</f>
        <v/>
      </c>
      <c r="H17" s="21">
        <f>H16+G17</f>
        <v/>
      </c>
      <c r="I17" s="21">
        <f>IF(A17-Assumptions!$B$52&lt;1,0,INDEX($H$6:$H$65,A17-Assumptions!$B$52))</f>
        <v/>
      </c>
      <c r="J17" s="21">
        <f>E17+H17</f>
        <v/>
      </c>
      <c r="K17" s="21">
        <f>F17+I17</f>
        <v/>
      </c>
      <c r="L17" s="33">
        <f>F17*Assumptions!$B$39+I17*Assumptions!$B$50</f>
        <v/>
      </c>
      <c r="M17" s="33">
        <f>D17*Assumptions!$B$38</f>
        <v/>
      </c>
      <c r="N17" s="33">
        <f>G17*Assumptions!$B$49</f>
        <v/>
      </c>
      <c r="O17" s="33">
        <f>M17+N17</f>
        <v/>
      </c>
      <c r="P17" s="59">
        <f>(D17*Assumptions!$B$40+G17*Assumptions!$B$51)/30/Assumptions!$B$19</f>
        <v/>
      </c>
    </row>
    <row r="18">
      <c r="A18" s="21" t="n">
        <v>13</v>
      </c>
      <c r="B18" s="34">
        <f>EDATE(Assumptions!$B$12,A18-1)</f>
        <v/>
      </c>
      <c r="C18" s="21">
        <f>ROUNDUP(A18/12,0)</f>
        <v/>
      </c>
      <c r="D18" s="21">
        <f>IF(A18&lt;Assumptions!$B$36,0,MAX(0,MIN(Assumptions!$B$37,Assumptions!$B$35-E17)))</f>
        <v/>
      </c>
      <c r="E18" s="21">
        <f>E17+D18</f>
        <v/>
      </c>
      <c r="F18" s="21">
        <f>IF(A18-Assumptions!$B$41&lt;1,0,INDEX($E$6:$E$65,A18-Assumptions!$B$41))</f>
        <v/>
      </c>
      <c r="G18" s="21">
        <f>IF(A18&lt;Assumptions!$B$45,0,MAX(0,MIN(Assumptions!$B$46,Assumptions!$B$44-H17)))</f>
        <v/>
      </c>
      <c r="H18" s="21">
        <f>H17+G18</f>
        <v/>
      </c>
      <c r="I18" s="21">
        <f>IF(A18-Assumptions!$B$52&lt;1,0,INDEX($H$6:$H$65,A18-Assumptions!$B$52))</f>
        <v/>
      </c>
      <c r="J18" s="21">
        <f>E18+H18</f>
        <v/>
      </c>
      <c r="K18" s="21">
        <f>F18+I18</f>
        <v/>
      </c>
      <c r="L18" s="33">
        <f>F18*Assumptions!$B$39+I18*Assumptions!$B$50</f>
        <v/>
      </c>
      <c r="M18" s="33">
        <f>D18*Assumptions!$B$38</f>
        <v/>
      </c>
      <c r="N18" s="33">
        <f>G18*Assumptions!$B$49</f>
        <v/>
      </c>
      <c r="O18" s="33">
        <f>M18+N18</f>
        <v/>
      </c>
      <c r="P18" s="59">
        <f>(D18*Assumptions!$B$40+G18*Assumptions!$B$51)/30/Assumptions!$B$19</f>
        <v/>
      </c>
    </row>
    <row r="19">
      <c r="A19" s="21" t="n">
        <v>14</v>
      </c>
      <c r="B19" s="34">
        <f>EDATE(Assumptions!$B$12,A19-1)</f>
        <v/>
      </c>
      <c r="C19" s="21">
        <f>ROUNDUP(A19/12,0)</f>
        <v/>
      </c>
      <c r="D19" s="21">
        <f>IF(A19&lt;Assumptions!$B$36,0,MAX(0,MIN(Assumptions!$B$37,Assumptions!$B$35-E18)))</f>
        <v/>
      </c>
      <c r="E19" s="21">
        <f>E18+D19</f>
        <v/>
      </c>
      <c r="F19" s="21">
        <f>IF(A19-Assumptions!$B$41&lt;1,0,INDEX($E$6:$E$65,A19-Assumptions!$B$41))</f>
        <v/>
      </c>
      <c r="G19" s="21">
        <f>IF(A19&lt;Assumptions!$B$45,0,MAX(0,MIN(Assumptions!$B$46,Assumptions!$B$44-H18)))</f>
        <v/>
      </c>
      <c r="H19" s="21">
        <f>H18+G19</f>
        <v/>
      </c>
      <c r="I19" s="21">
        <f>IF(A19-Assumptions!$B$52&lt;1,0,INDEX($H$6:$H$65,A19-Assumptions!$B$52))</f>
        <v/>
      </c>
      <c r="J19" s="21">
        <f>E19+H19</f>
        <v/>
      </c>
      <c r="K19" s="21">
        <f>F19+I19</f>
        <v/>
      </c>
      <c r="L19" s="33">
        <f>F19*Assumptions!$B$39+I19*Assumptions!$B$50</f>
        <v/>
      </c>
      <c r="M19" s="33">
        <f>D19*Assumptions!$B$38</f>
        <v/>
      </c>
      <c r="N19" s="33">
        <f>G19*Assumptions!$B$49</f>
        <v/>
      </c>
      <c r="O19" s="33">
        <f>M19+N19</f>
        <v/>
      </c>
      <c r="P19" s="59">
        <f>(D19*Assumptions!$B$40+G19*Assumptions!$B$51)/30/Assumptions!$B$19</f>
        <v/>
      </c>
    </row>
    <row r="20">
      <c r="A20" s="21" t="n">
        <v>15</v>
      </c>
      <c r="B20" s="34">
        <f>EDATE(Assumptions!$B$12,A20-1)</f>
        <v/>
      </c>
      <c r="C20" s="21">
        <f>ROUNDUP(A20/12,0)</f>
        <v/>
      </c>
      <c r="D20" s="21">
        <f>IF(A20&lt;Assumptions!$B$36,0,MAX(0,MIN(Assumptions!$B$37,Assumptions!$B$35-E19)))</f>
        <v/>
      </c>
      <c r="E20" s="21">
        <f>E19+D20</f>
        <v/>
      </c>
      <c r="F20" s="21">
        <f>IF(A20-Assumptions!$B$41&lt;1,0,INDEX($E$6:$E$65,A20-Assumptions!$B$41))</f>
        <v/>
      </c>
      <c r="G20" s="21">
        <f>IF(A20&lt;Assumptions!$B$45,0,MAX(0,MIN(Assumptions!$B$46,Assumptions!$B$44-H19)))</f>
        <v/>
      </c>
      <c r="H20" s="21">
        <f>H19+G20</f>
        <v/>
      </c>
      <c r="I20" s="21">
        <f>IF(A20-Assumptions!$B$52&lt;1,0,INDEX($H$6:$H$65,A20-Assumptions!$B$52))</f>
        <v/>
      </c>
      <c r="J20" s="21">
        <f>E20+H20</f>
        <v/>
      </c>
      <c r="K20" s="21">
        <f>F20+I20</f>
        <v/>
      </c>
      <c r="L20" s="33">
        <f>F20*Assumptions!$B$39+I20*Assumptions!$B$50</f>
        <v/>
      </c>
      <c r="M20" s="33">
        <f>D20*Assumptions!$B$38</f>
        <v/>
      </c>
      <c r="N20" s="33">
        <f>G20*Assumptions!$B$49</f>
        <v/>
      </c>
      <c r="O20" s="33">
        <f>M20+N20</f>
        <v/>
      </c>
      <c r="P20" s="59">
        <f>(D20*Assumptions!$B$40+G20*Assumptions!$B$51)/30/Assumptions!$B$19</f>
        <v/>
      </c>
    </row>
    <row r="21">
      <c r="A21" s="21" t="n">
        <v>16</v>
      </c>
      <c r="B21" s="34">
        <f>EDATE(Assumptions!$B$12,A21-1)</f>
        <v/>
      </c>
      <c r="C21" s="21">
        <f>ROUNDUP(A21/12,0)</f>
        <v/>
      </c>
      <c r="D21" s="21">
        <f>IF(A21&lt;Assumptions!$B$36,0,MAX(0,MIN(Assumptions!$B$37,Assumptions!$B$35-E20)))</f>
        <v/>
      </c>
      <c r="E21" s="21">
        <f>E20+D21</f>
        <v/>
      </c>
      <c r="F21" s="21">
        <f>IF(A21-Assumptions!$B$41&lt;1,0,INDEX($E$6:$E$65,A21-Assumptions!$B$41))</f>
        <v/>
      </c>
      <c r="G21" s="21">
        <f>IF(A21&lt;Assumptions!$B$45,0,MAX(0,MIN(Assumptions!$B$46,Assumptions!$B$44-H20)))</f>
        <v/>
      </c>
      <c r="H21" s="21">
        <f>H20+G21</f>
        <v/>
      </c>
      <c r="I21" s="21">
        <f>IF(A21-Assumptions!$B$52&lt;1,0,INDEX($H$6:$H$65,A21-Assumptions!$B$52))</f>
        <v/>
      </c>
      <c r="J21" s="21">
        <f>E21+H21</f>
        <v/>
      </c>
      <c r="K21" s="21">
        <f>F21+I21</f>
        <v/>
      </c>
      <c r="L21" s="33">
        <f>F21*Assumptions!$B$39+I21*Assumptions!$B$50</f>
        <v/>
      </c>
      <c r="M21" s="33">
        <f>D21*Assumptions!$B$38</f>
        <v/>
      </c>
      <c r="N21" s="33">
        <f>G21*Assumptions!$B$49</f>
        <v/>
      </c>
      <c r="O21" s="33">
        <f>M21+N21</f>
        <v/>
      </c>
      <c r="P21" s="59">
        <f>(D21*Assumptions!$B$40+G21*Assumptions!$B$51)/30/Assumptions!$B$19</f>
        <v/>
      </c>
    </row>
    <row r="22">
      <c r="A22" s="21" t="n">
        <v>17</v>
      </c>
      <c r="B22" s="34">
        <f>EDATE(Assumptions!$B$12,A22-1)</f>
        <v/>
      </c>
      <c r="C22" s="21">
        <f>ROUNDUP(A22/12,0)</f>
        <v/>
      </c>
      <c r="D22" s="21">
        <f>IF(A22&lt;Assumptions!$B$36,0,MAX(0,MIN(Assumptions!$B$37,Assumptions!$B$35-E21)))</f>
        <v/>
      </c>
      <c r="E22" s="21">
        <f>E21+D22</f>
        <v/>
      </c>
      <c r="F22" s="21">
        <f>IF(A22-Assumptions!$B$41&lt;1,0,INDEX($E$6:$E$65,A22-Assumptions!$B$41))</f>
        <v/>
      </c>
      <c r="G22" s="21">
        <f>IF(A22&lt;Assumptions!$B$45,0,MAX(0,MIN(Assumptions!$B$46,Assumptions!$B$44-H21)))</f>
        <v/>
      </c>
      <c r="H22" s="21">
        <f>H21+G22</f>
        <v/>
      </c>
      <c r="I22" s="21">
        <f>IF(A22-Assumptions!$B$52&lt;1,0,INDEX($H$6:$H$65,A22-Assumptions!$B$52))</f>
        <v/>
      </c>
      <c r="J22" s="21">
        <f>E22+H22</f>
        <v/>
      </c>
      <c r="K22" s="21">
        <f>F22+I22</f>
        <v/>
      </c>
      <c r="L22" s="33">
        <f>F22*Assumptions!$B$39+I22*Assumptions!$B$50</f>
        <v/>
      </c>
      <c r="M22" s="33">
        <f>D22*Assumptions!$B$38</f>
        <v/>
      </c>
      <c r="N22" s="33">
        <f>G22*Assumptions!$B$49</f>
        <v/>
      </c>
      <c r="O22" s="33">
        <f>M22+N22</f>
        <v/>
      </c>
      <c r="P22" s="59">
        <f>(D22*Assumptions!$B$40+G22*Assumptions!$B$51)/30/Assumptions!$B$19</f>
        <v/>
      </c>
    </row>
    <row r="23">
      <c r="A23" s="21" t="n">
        <v>18</v>
      </c>
      <c r="B23" s="34">
        <f>EDATE(Assumptions!$B$12,A23-1)</f>
        <v/>
      </c>
      <c r="C23" s="21">
        <f>ROUNDUP(A23/12,0)</f>
        <v/>
      </c>
      <c r="D23" s="21">
        <f>IF(A23&lt;Assumptions!$B$36,0,MAX(0,MIN(Assumptions!$B$37,Assumptions!$B$35-E22)))</f>
        <v/>
      </c>
      <c r="E23" s="21">
        <f>E22+D23</f>
        <v/>
      </c>
      <c r="F23" s="21">
        <f>IF(A23-Assumptions!$B$41&lt;1,0,INDEX($E$6:$E$65,A23-Assumptions!$B$41))</f>
        <v/>
      </c>
      <c r="G23" s="21">
        <f>IF(A23&lt;Assumptions!$B$45,0,MAX(0,MIN(Assumptions!$B$46,Assumptions!$B$44-H22)))</f>
        <v/>
      </c>
      <c r="H23" s="21">
        <f>H22+G23</f>
        <v/>
      </c>
      <c r="I23" s="21">
        <f>IF(A23-Assumptions!$B$52&lt;1,0,INDEX($H$6:$H$65,A23-Assumptions!$B$52))</f>
        <v/>
      </c>
      <c r="J23" s="21">
        <f>E23+H23</f>
        <v/>
      </c>
      <c r="K23" s="21">
        <f>F23+I23</f>
        <v/>
      </c>
      <c r="L23" s="33">
        <f>F23*Assumptions!$B$39+I23*Assumptions!$B$50</f>
        <v/>
      </c>
      <c r="M23" s="33">
        <f>D23*Assumptions!$B$38</f>
        <v/>
      </c>
      <c r="N23" s="33">
        <f>G23*Assumptions!$B$49</f>
        <v/>
      </c>
      <c r="O23" s="33">
        <f>M23+N23</f>
        <v/>
      </c>
      <c r="P23" s="59">
        <f>(D23*Assumptions!$B$40+G23*Assumptions!$B$51)/30/Assumptions!$B$19</f>
        <v/>
      </c>
    </row>
    <row r="24">
      <c r="A24" s="21" t="n">
        <v>19</v>
      </c>
      <c r="B24" s="34">
        <f>EDATE(Assumptions!$B$12,A24-1)</f>
        <v/>
      </c>
      <c r="C24" s="21">
        <f>ROUNDUP(A24/12,0)</f>
        <v/>
      </c>
      <c r="D24" s="21">
        <f>IF(A24&lt;Assumptions!$B$36,0,MAX(0,MIN(Assumptions!$B$37,Assumptions!$B$35-E23)))</f>
        <v/>
      </c>
      <c r="E24" s="21">
        <f>E23+D24</f>
        <v/>
      </c>
      <c r="F24" s="21">
        <f>IF(A24-Assumptions!$B$41&lt;1,0,INDEX($E$6:$E$65,A24-Assumptions!$B$41))</f>
        <v/>
      </c>
      <c r="G24" s="21">
        <f>IF(A24&lt;Assumptions!$B$45,0,MAX(0,MIN(Assumptions!$B$46,Assumptions!$B$44-H23)))</f>
        <v/>
      </c>
      <c r="H24" s="21">
        <f>H23+G24</f>
        <v/>
      </c>
      <c r="I24" s="21">
        <f>IF(A24-Assumptions!$B$52&lt;1,0,INDEX($H$6:$H$65,A24-Assumptions!$B$52))</f>
        <v/>
      </c>
      <c r="J24" s="21">
        <f>E24+H24</f>
        <v/>
      </c>
      <c r="K24" s="21">
        <f>F24+I24</f>
        <v/>
      </c>
      <c r="L24" s="33">
        <f>F24*Assumptions!$B$39+I24*Assumptions!$B$50</f>
        <v/>
      </c>
      <c r="M24" s="33">
        <f>D24*Assumptions!$B$38</f>
        <v/>
      </c>
      <c r="N24" s="33">
        <f>G24*Assumptions!$B$49</f>
        <v/>
      </c>
      <c r="O24" s="33">
        <f>M24+N24</f>
        <v/>
      </c>
      <c r="P24" s="59">
        <f>(D24*Assumptions!$B$40+G24*Assumptions!$B$51)/30/Assumptions!$B$19</f>
        <v/>
      </c>
    </row>
    <row r="25">
      <c r="A25" s="21" t="n">
        <v>20</v>
      </c>
      <c r="B25" s="34">
        <f>EDATE(Assumptions!$B$12,A25-1)</f>
        <v/>
      </c>
      <c r="C25" s="21">
        <f>ROUNDUP(A25/12,0)</f>
        <v/>
      </c>
      <c r="D25" s="21">
        <f>IF(A25&lt;Assumptions!$B$36,0,MAX(0,MIN(Assumptions!$B$37,Assumptions!$B$35-E24)))</f>
        <v/>
      </c>
      <c r="E25" s="21">
        <f>E24+D25</f>
        <v/>
      </c>
      <c r="F25" s="21">
        <f>IF(A25-Assumptions!$B$41&lt;1,0,INDEX($E$6:$E$65,A25-Assumptions!$B$41))</f>
        <v/>
      </c>
      <c r="G25" s="21">
        <f>IF(A25&lt;Assumptions!$B$45,0,MAX(0,MIN(Assumptions!$B$46,Assumptions!$B$44-H24)))</f>
        <v/>
      </c>
      <c r="H25" s="21">
        <f>H24+G25</f>
        <v/>
      </c>
      <c r="I25" s="21">
        <f>IF(A25-Assumptions!$B$52&lt;1,0,INDEX($H$6:$H$65,A25-Assumptions!$B$52))</f>
        <v/>
      </c>
      <c r="J25" s="21">
        <f>E25+H25</f>
        <v/>
      </c>
      <c r="K25" s="21">
        <f>F25+I25</f>
        <v/>
      </c>
      <c r="L25" s="33">
        <f>F25*Assumptions!$B$39+I25*Assumptions!$B$50</f>
        <v/>
      </c>
      <c r="M25" s="33">
        <f>D25*Assumptions!$B$38</f>
        <v/>
      </c>
      <c r="N25" s="33">
        <f>G25*Assumptions!$B$49</f>
        <v/>
      </c>
      <c r="O25" s="33">
        <f>M25+N25</f>
        <v/>
      </c>
      <c r="P25" s="59">
        <f>(D25*Assumptions!$B$40+G25*Assumptions!$B$51)/30/Assumptions!$B$19</f>
        <v/>
      </c>
    </row>
    <row r="26">
      <c r="A26" s="21" t="n">
        <v>21</v>
      </c>
      <c r="B26" s="34">
        <f>EDATE(Assumptions!$B$12,A26-1)</f>
        <v/>
      </c>
      <c r="C26" s="21">
        <f>ROUNDUP(A26/12,0)</f>
        <v/>
      </c>
      <c r="D26" s="21">
        <f>IF(A26&lt;Assumptions!$B$36,0,MAX(0,MIN(Assumptions!$B$37,Assumptions!$B$35-E25)))</f>
        <v/>
      </c>
      <c r="E26" s="21">
        <f>E25+D26</f>
        <v/>
      </c>
      <c r="F26" s="21">
        <f>IF(A26-Assumptions!$B$41&lt;1,0,INDEX($E$6:$E$65,A26-Assumptions!$B$41))</f>
        <v/>
      </c>
      <c r="G26" s="21">
        <f>IF(A26&lt;Assumptions!$B$45,0,MAX(0,MIN(Assumptions!$B$46,Assumptions!$B$44-H25)))</f>
        <v/>
      </c>
      <c r="H26" s="21">
        <f>H25+G26</f>
        <v/>
      </c>
      <c r="I26" s="21">
        <f>IF(A26-Assumptions!$B$52&lt;1,0,INDEX($H$6:$H$65,A26-Assumptions!$B$52))</f>
        <v/>
      </c>
      <c r="J26" s="21">
        <f>E26+H26</f>
        <v/>
      </c>
      <c r="K26" s="21">
        <f>F26+I26</f>
        <v/>
      </c>
      <c r="L26" s="33">
        <f>F26*Assumptions!$B$39+I26*Assumptions!$B$50</f>
        <v/>
      </c>
      <c r="M26" s="33">
        <f>D26*Assumptions!$B$38</f>
        <v/>
      </c>
      <c r="N26" s="33">
        <f>G26*Assumptions!$B$49</f>
        <v/>
      </c>
      <c r="O26" s="33">
        <f>M26+N26</f>
        <v/>
      </c>
      <c r="P26" s="59">
        <f>(D26*Assumptions!$B$40+G26*Assumptions!$B$51)/30/Assumptions!$B$19</f>
        <v/>
      </c>
    </row>
    <row r="27">
      <c r="A27" s="21" t="n">
        <v>22</v>
      </c>
      <c r="B27" s="34">
        <f>EDATE(Assumptions!$B$12,A27-1)</f>
        <v/>
      </c>
      <c r="C27" s="21">
        <f>ROUNDUP(A27/12,0)</f>
        <v/>
      </c>
      <c r="D27" s="21">
        <f>IF(A27&lt;Assumptions!$B$36,0,MAX(0,MIN(Assumptions!$B$37,Assumptions!$B$35-E26)))</f>
        <v/>
      </c>
      <c r="E27" s="21">
        <f>E26+D27</f>
        <v/>
      </c>
      <c r="F27" s="21">
        <f>IF(A27-Assumptions!$B$41&lt;1,0,INDEX($E$6:$E$65,A27-Assumptions!$B$41))</f>
        <v/>
      </c>
      <c r="G27" s="21">
        <f>IF(A27&lt;Assumptions!$B$45,0,MAX(0,MIN(Assumptions!$B$46,Assumptions!$B$44-H26)))</f>
        <v/>
      </c>
      <c r="H27" s="21">
        <f>H26+G27</f>
        <v/>
      </c>
      <c r="I27" s="21">
        <f>IF(A27-Assumptions!$B$52&lt;1,0,INDEX($H$6:$H$65,A27-Assumptions!$B$52))</f>
        <v/>
      </c>
      <c r="J27" s="21">
        <f>E27+H27</f>
        <v/>
      </c>
      <c r="K27" s="21">
        <f>F27+I27</f>
        <v/>
      </c>
      <c r="L27" s="33">
        <f>F27*Assumptions!$B$39+I27*Assumptions!$B$50</f>
        <v/>
      </c>
      <c r="M27" s="33">
        <f>D27*Assumptions!$B$38</f>
        <v/>
      </c>
      <c r="N27" s="33">
        <f>G27*Assumptions!$B$49</f>
        <v/>
      </c>
      <c r="O27" s="33">
        <f>M27+N27</f>
        <v/>
      </c>
      <c r="P27" s="59">
        <f>(D27*Assumptions!$B$40+G27*Assumptions!$B$51)/30/Assumptions!$B$19</f>
        <v/>
      </c>
    </row>
    <row r="28">
      <c r="A28" s="21" t="n">
        <v>23</v>
      </c>
      <c r="B28" s="34">
        <f>EDATE(Assumptions!$B$12,A28-1)</f>
        <v/>
      </c>
      <c r="C28" s="21">
        <f>ROUNDUP(A28/12,0)</f>
        <v/>
      </c>
      <c r="D28" s="21">
        <f>IF(A28&lt;Assumptions!$B$36,0,MAX(0,MIN(Assumptions!$B$37,Assumptions!$B$35-E27)))</f>
        <v/>
      </c>
      <c r="E28" s="21">
        <f>E27+D28</f>
        <v/>
      </c>
      <c r="F28" s="21">
        <f>IF(A28-Assumptions!$B$41&lt;1,0,INDEX($E$6:$E$65,A28-Assumptions!$B$41))</f>
        <v/>
      </c>
      <c r="G28" s="21">
        <f>IF(A28&lt;Assumptions!$B$45,0,MAX(0,MIN(Assumptions!$B$46,Assumptions!$B$44-H27)))</f>
        <v/>
      </c>
      <c r="H28" s="21">
        <f>H27+G28</f>
        <v/>
      </c>
      <c r="I28" s="21">
        <f>IF(A28-Assumptions!$B$52&lt;1,0,INDEX($H$6:$H$65,A28-Assumptions!$B$52))</f>
        <v/>
      </c>
      <c r="J28" s="21">
        <f>E28+H28</f>
        <v/>
      </c>
      <c r="K28" s="21">
        <f>F28+I28</f>
        <v/>
      </c>
      <c r="L28" s="33">
        <f>F28*Assumptions!$B$39+I28*Assumptions!$B$50</f>
        <v/>
      </c>
      <c r="M28" s="33">
        <f>D28*Assumptions!$B$38</f>
        <v/>
      </c>
      <c r="N28" s="33">
        <f>G28*Assumptions!$B$49</f>
        <v/>
      </c>
      <c r="O28" s="33">
        <f>M28+N28</f>
        <v/>
      </c>
      <c r="P28" s="59">
        <f>(D28*Assumptions!$B$40+G28*Assumptions!$B$51)/30/Assumptions!$B$19</f>
        <v/>
      </c>
    </row>
    <row r="29">
      <c r="A29" s="21" t="n">
        <v>24</v>
      </c>
      <c r="B29" s="34">
        <f>EDATE(Assumptions!$B$12,A29-1)</f>
        <v/>
      </c>
      <c r="C29" s="21">
        <f>ROUNDUP(A29/12,0)</f>
        <v/>
      </c>
      <c r="D29" s="21">
        <f>IF(A29&lt;Assumptions!$B$36,0,MAX(0,MIN(Assumptions!$B$37,Assumptions!$B$35-E28)))</f>
        <v/>
      </c>
      <c r="E29" s="21">
        <f>E28+D29</f>
        <v/>
      </c>
      <c r="F29" s="21">
        <f>IF(A29-Assumptions!$B$41&lt;1,0,INDEX($E$6:$E$65,A29-Assumptions!$B$41))</f>
        <v/>
      </c>
      <c r="G29" s="21">
        <f>IF(A29&lt;Assumptions!$B$45,0,MAX(0,MIN(Assumptions!$B$46,Assumptions!$B$44-H28)))</f>
        <v/>
      </c>
      <c r="H29" s="21">
        <f>H28+G29</f>
        <v/>
      </c>
      <c r="I29" s="21">
        <f>IF(A29-Assumptions!$B$52&lt;1,0,INDEX($H$6:$H$65,A29-Assumptions!$B$52))</f>
        <v/>
      </c>
      <c r="J29" s="21">
        <f>E29+H29</f>
        <v/>
      </c>
      <c r="K29" s="21">
        <f>F29+I29</f>
        <v/>
      </c>
      <c r="L29" s="33">
        <f>F29*Assumptions!$B$39+I29*Assumptions!$B$50</f>
        <v/>
      </c>
      <c r="M29" s="33">
        <f>D29*Assumptions!$B$38</f>
        <v/>
      </c>
      <c r="N29" s="33">
        <f>G29*Assumptions!$B$49</f>
        <v/>
      </c>
      <c r="O29" s="33">
        <f>M29+N29</f>
        <v/>
      </c>
      <c r="P29" s="59">
        <f>(D29*Assumptions!$B$40+G29*Assumptions!$B$51)/30/Assumptions!$B$19</f>
        <v/>
      </c>
    </row>
    <row r="30">
      <c r="A30" s="21" t="n">
        <v>25</v>
      </c>
      <c r="B30" s="34">
        <f>EDATE(Assumptions!$B$12,A30-1)</f>
        <v/>
      </c>
      <c r="C30" s="21">
        <f>ROUNDUP(A30/12,0)</f>
        <v/>
      </c>
      <c r="D30" s="21">
        <f>IF(A30&lt;Assumptions!$B$36,0,MAX(0,MIN(Assumptions!$B$37,Assumptions!$B$35-E29)))</f>
        <v/>
      </c>
      <c r="E30" s="21">
        <f>E29+D30</f>
        <v/>
      </c>
      <c r="F30" s="21">
        <f>IF(A30-Assumptions!$B$41&lt;1,0,INDEX($E$6:$E$65,A30-Assumptions!$B$41))</f>
        <v/>
      </c>
      <c r="G30" s="21">
        <f>IF(A30&lt;Assumptions!$B$45,0,MAX(0,MIN(Assumptions!$B$46,Assumptions!$B$44-H29)))</f>
        <v/>
      </c>
      <c r="H30" s="21">
        <f>H29+G30</f>
        <v/>
      </c>
      <c r="I30" s="21">
        <f>IF(A30-Assumptions!$B$52&lt;1,0,INDEX($H$6:$H$65,A30-Assumptions!$B$52))</f>
        <v/>
      </c>
      <c r="J30" s="21">
        <f>E30+H30</f>
        <v/>
      </c>
      <c r="K30" s="21">
        <f>F30+I30</f>
        <v/>
      </c>
      <c r="L30" s="33">
        <f>F30*Assumptions!$B$39+I30*Assumptions!$B$50</f>
        <v/>
      </c>
      <c r="M30" s="33">
        <f>D30*Assumptions!$B$38</f>
        <v/>
      </c>
      <c r="N30" s="33">
        <f>G30*Assumptions!$B$49</f>
        <v/>
      </c>
      <c r="O30" s="33">
        <f>M30+N30</f>
        <v/>
      </c>
      <c r="P30" s="59">
        <f>(D30*Assumptions!$B$40+G30*Assumptions!$B$51)/30/Assumptions!$B$19</f>
        <v/>
      </c>
    </row>
    <row r="31">
      <c r="A31" s="21" t="n">
        <v>26</v>
      </c>
      <c r="B31" s="34">
        <f>EDATE(Assumptions!$B$12,A31-1)</f>
        <v/>
      </c>
      <c r="C31" s="21">
        <f>ROUNDUP(A31/12,0)</f>
        <v/>
      </c>
      <c r="D31" s="21">
        <f>IF(A31&lt;Assumptions!$B$36,0,MAX(0,MIN(Assumptions!$B$37,Assumptions!$B$35-E30)))</f>
        <v/>
      </c>
      <c r="E31" s="21">
        <f>E30+D31</f>
        <v/>
      </c>
      <c r="F31" s="21">
        <f>IF(A31-Assumptions!$B$41&lt;1,0,INDEX($E$6:$E$65,A31-Assumptions!$B$41))</f>
        <v/>
      </c>
      <c r="G31" s="21">
        <f>IF(A31&lt;Assumptions!$B$45,0,MAX(0,MIN(Assumptions!$B$46,Assumptions!$B$44-H30)))</f>
        <v/>
      </c>
      <c r="H31" s="21">
        <f>H30+G31</f>
        <v/>
      </c>
      <c r="I31" s="21">
        <f>IF(A31-Assumptions!$B$52&lt;1,0,INDEX($H$6:$H$65,A31-Assumptions!$B$52))</f>
        <v/>
      </c>
      <c r="J31" s="21">
        <f>E31+H31</f>
        <v/>
      </c>
      <c r="K31" s="21">
        <f>F31+I31</f>
        <v/>
      </c>
      <c r="L31" s="33">
        <f>F31*Assumptions!$B$39+I31*Assumptions!$B$50</f>
        <v/>
      </c>
      <c r="M31" s="33">
        <f>D31*Assumptions!$B$38</f>
        <v/>
      </c>
      <c r="N31" s="33">
        <f>G31*Assumptions!$B$49</f>
        <v/>
      </c>
      <c r="O31" s="33">
        <f>M31+N31</f>
        <v/>
      </c>
      <c r="P31" s="59">
        <f>(D31*Assumptions!$B$40+G31*Assumptions!$B$51)/30/Assumptions!$B$19</f>
        <v/>
      </c>
    </row>
    <row r="32">
      <c r="A32" s="21" t="n">
        <v>27</v>
      </c>
      <c r="B32" s="34">
        <f>EDATE(Assumptions!$B$12,A32-1)</f>
        <v/>
      </c>
      <c r="C32" s="21">
        <f>ROUNDUP(A32/12,0)</f>
        <v/>
      </c>
      <c r="D32" s="21">
        <f>IF(A32&lt;Assumptions!$B$36,0,MAX(0,MIN(Assumptions!$B$37,Assumptions!$B$35-E31)))</f>
        <v/>
      </c>
      <c r="E32" s="21">
        <f>E31+D32</f>
        <v/>
      </c>
      <c r="F32" s="21">
        <f>IF(A32-Assumptions!$B$41&lt;1,0,INDEX($E$6:$E$65,A32-Assumptions!$B$41))</f>
        <v/>
      </c>
      <c r="G32" s="21">
        <f>IF(A32&lt;Assumptions!$B$45,0,MAX(0,MIN(Assumptions!$B$46,Assumptions!$B$44-H31)))</f>
        <v/>
      </c>
      <c r="H32" s="21">
        <f>H31+G32</f>
        <v/>
      </c>
      <c r="I32" s="21">
        <f>IF(A32-Assumptions!$B$52&lt;1,0,INDEX($H$6:$H$65,A32-Assumptions!$B$52))</f>
        <v/>
      </c>
      <c r="J32" s="21">
        <f>E32+H32</f>
        <v/>
      </c>
      <c r="K32" s="21">
        <f>F32+I32</f>
        <v/>
      </c>
      <c r="L32" s="33">
        <f>F32*Assumptions!$B$39+I32*Assumptions!$B$50</f>
        <v/>
      </c>
      <c r="M32" s="33">
        <f>D32*Assumptions!$B$38</f>
        <v/>
      </c>
      <c r="N32" s="33">
        <f>G32*Assumptions!$B$49</f>
        <v/>
      </c>
      <c r="O32" s="33">
        <f>M32+N32</f>
        <v/>
      </c>
      <c r="P32" s="59">
        <f>(D32*Assumptions!$B$40+G32*Assumptions!$B$51)/30/Assumptions!$B$19</f>
        <v/>
      </c>
    </row>
    <row r="33">
      <c r="A33" s="21" t="n">
        <v>28</v>
      </c>
      <c r="B33" s="34">
        <f>EDATE(Assumptions!$B$12,A33-1)</f>
        <v/>
      </c>
      <c r="C33" s="21">
        <f>ROUNDUP(A33/12,0)</f>
        <v/>
      </c>
      <c r="D33" s="21">
        <f>IF(A33&lt;Assumptions!$B$36,0,MAX(0,MIN(Assumptions!$B$37,Assumptions!$B$35-E32)))</f>
        <v/>
      </c>
      <c r="E33" s="21">
        <f>E32+D33</f>
        <v/>
      </c>
      <c r="F33" s="21">
        <f>IF(A33-Assumptions!$B$41&lt;1,0,INDEX($E$6:$E$65,A33-Assumptions!$B$41))</f>
        <v/>
      </c>
      <c r="G33" s="21">
        <f>IF(A33&lt;Assumptions!$B$45,0,MAX(0,MIN(Assumptions!$B$46,Assumptions!$B$44-H32)))</f>
        <v/>
      </c>
      <c r="H33" s="21">
        <f>H32+G33</f>
        <v/>
      </c>
      <c r="I33" s="21">
        <f>IF(A33-Assumptions!$B$52&lt;1,0,INDEX($H$6:$H$65,A33-Assumptions!$B$52))</f>
        <v/>
      </c>
      <c r="J33" s="21">
        <f>E33+H33</f>
        <v/>
      </c>
      <c r="K33" s="21">
        <f>F33+I33</f>
        <v/>
      </c>
      <c r="L33" s="33">
        <f>F33*Assumptions!$B$39+I33*Assumptions!$B$50</f>
        <v/>
      </c>
      <c r="M33" s="33">
        <f>D33*Assumptions!$B$38</f>
        <v/>
      </c>
      <c r="N33" s="33">
        <f>G33*Assumptions!$B$49</f>
        <v/>
      </c>
      <c r="O33" s="33">
        <f>M33+N33</f>
        <v/>
      </c>
      <c r="P33" s="59">
        <f>(D33*Assumptions!$B$40+G33*Assumptions!$B$51)/30/Assumptions!$B$19</f>
        <v/>
      </c>
    </row>
    <row r="34">
      <c r="A34" s="21" t="n">
        <v>29</v>
      </c>
      <c r="B34" s="34">
        <f>EDATE(Assumptions!$B$12,A34-1)</f>
        <v/>
      </c>
      <c r="C34" s="21">
        <f>ROUNDUP(A34/12,0)</f>
        <v/>
      </c>
      <c r="D34" s="21">
        <f>IF(A34&lt;Assumptions!$B$36,0,MAX(0,MIN(Assumptions!$B$37,Assumptions!$B$35-E33)))</f>
        <v/>
      </c>
      <c r="E34" s="21">
        <f>E33+D34</f>
        <v/>
      </c>
      <c r="F34" s="21">
        <f>IF(A34-Assumptions!$B$41&lt;1,0,INDEX($E$6:$E$65,A34-Assumptions!$B$41))</f>
        <v/>
      </c>
      <c r="G34" s="21">
        <f>IF(A34&lt;Assumptions!$B$45,0,MAX(0,MIN(Assumptions!$B$46,Assumptions!$B$44-H33)))</f>
        <v/>
      </c>
      <c r="H34" s="21">
        <f>H33+G34</f>
        <v/>
      </c>
      <c r="I34" s="21">
        <f>IF(A34-Assumptions!$B$52&lt;1,0,INDEX($H$6:$H$65,A34-Assumptions!$B$52))</f>
        <v/>
      </c>
      <c r="J34" s="21">
        <f>E34+H34</f>
        <v/>
      </c>
      <c r="K34" s="21">
        <f>F34+I34</f>
        <v/>
      </c>
      <c r="L34" s="33">
        <f>F34*Assumptions!$B$39+I34*Assumptions!$B$50</f>
        <v/>
      </c>
      <c r="M34" s="33">
        <f>D34*Assumptions!$B$38</f>
        <v/>
      </c>
      <c r="N34" s="33">
        <f>G34*Assumptions!$B$49</f>
        <v/>
      </c>
      <c r="O34" s="33">
        <f>M34+N34</f>
        <v/>
      </c>
      <c r="P34" s="59">
        <f>(D34*Assumptions!$B$40+G34*Assumptions!$B$51)/30/Assumptions!$B$19</f>
        <v/>
      </c>
    </row>
    <row r="35">
      <c r="A35" s="21" t="n">
        <v>30</v>
      </c>
      <c r="B35" s="34">
        <f>EDATE(Assumptions!$B$12,A35-1)</f>
        <v/>
      </c>
      <c r="C35" s="21">
        <f>ROUNDUP(A35/12,0)</f>
        <v/>
      </c>
      <c r="D35" s="21">
        <f>IF(A35&lt;Assumptions!$B$36,0,MAX(0,MIN(Assumptions!$B$37,Assumptions!$B$35-E34)))</f>
        <v/>
      </c>
      <c r="E35" s="21">
        <f>E34+D35</f>
        <v/>
      </c>
      <c r="F35" s="21">
        <f>IF(A35-Assumptions!$B$41&lt;1,0,INDEX($E$6:$E$65,A35-Assumptions!$B$41))</f>
        <v/>
      </c>
      <c r="G35" s="21">
        <f>IF(A35&lt;Assumptions!$B$45,0,MAX(0,MIN(Assumptions!$B$46,Assumptions!$B$44-H34)))</f>
        <v/>
      </c>
      <c r="H35" s="21">
        <f>H34+G35</f>
        <v/>
      </c>
      <c r="I35" s="21">
        <f>IF(A35-Assumptions!$B$52&lt;1,0,INDEX($H$6:$H$65,A35-Assumptions!$B$52))</f>
        <v/>
      </c>
      <c r="J35" s="21">
        <f>E35+H35</f>
        <v/>
      </c>
      <c r="K35" s="21">
        <f>F35+I35</f>
        <v/>
      </c>
      <c r="L35" s="33">
        <f>F35*Assumptions!$B$39+I35*Assumptions!$B$50</f>
        <v/>
      </c>
      <c r="M35" s="33">
        <f>D35*Assumptions!$B$38</f>
        <v/>
      </c>
      <c r="N35" s="33">
        <f>G35*Assumptions!$B$49</f>
        <v/>
      </c>
      <c r="O35" s="33">
        <f>M35+N35</f>
        <v/>
      </c>
      <c r="P35" s="59">
        <f>(D35*Assumptions!$B$40+G35*Assumptions!$B$51)/30/Assumptions!$B$19</f>
        <v/>
      </c>
    </row>
    <row r="36">
      <c r="A36" s="21" t="n">
        <v>31</v>
      </c>
      <c r="B36" s="34">
        <f>EDATE(Assumptions!$B$12,A36-1)</f>
        <v/>
      </c>
      <c r="C36" s="21">
        <f>ROUNDUP(A36/12,0)</f>
        <v/>
      </c>
      <c r="D36" s="21">
        <f>IF(A36&lt;Assumptions!$B$36,0,MAX(0,MIN(Assumptions!$B$37,Assumptions!$B$35-E35)))</f>
        <v/>
      </c>
      <c r="E36" s="21">
        <f>E35+D36</f>
        <v/>
      </c>
      <c r="F36" s="21">
        <f>IF(A36-Assumptions!$B$41&lt;1,0,INDEX($E$6:$E$65,A36-Assumptions!$B$41))</f>
        <v/>
      </c>
      <c r="G36" s="21">
        <f>IF(A36&lt;Assumptions!$B$45,0,MAX(0,MIN(Assumptions!$B$46,Assumptions!$B$44-H35)))</f>
        <v/>
      </c>
      <c r="H36" s="21">
        <f>H35+G36</f>
        <v/>
      </c>
      <c r="I36" s="21">
        <f>IF(A36-Assumptions!$B$52&lt;1,0,INDEX($H$6:$H$65,A36-Assumptions!$B$52))</f>
        <v/>
      </c>
      <c r="J36" s="21">
        <f>E36+H36</f>
        <v/>
      </c>
      <c r="K36" s="21">
        <f>F36+I36</f>
        <v/>
      </c>
      <c r="L36" s="33">
        <f>F36*Assumptions!$B$39+I36*Assumptions!$B$50</f>
        <v/>
      </c>
      <c r="M36" s="33">
        <f>D36*Assumptions!$B$38</f>
        <v/>
      </c>
      <c r="N36" s="33">
        <f>G36*Assumptions!$B$49</f>
        <v/>
      </c>
      <c r="O36" s="33">
        <f>M36+N36</f>
        <v/>
      </c>
      <c r="P36" s="59">
        <f>(D36*Assumptions!$B$40+G36*Assumptions!$B$51)/30/Assumptions!$B$19</f>
        <v/>
      </c>
    </row>
    <row r="37">
      <c r="A37" s="21" t="n">
        <v>32</v>
      </c>
      <c r="B37" s="34">
        <f>EDATE(Assumptions!$B$12,A37-1)</f>
        <v/>
      </c>
      <c r="C37" s="21">
        <f>ROUNDUP(A37/12,0)</f>
        <v/>
      </c>
      <c r="D37" s="21">
        <f>IF(A37&lt;Assumptions!$B$36,0,MAX(0,MIN(Assumptions!$B$37,Assumptions!$B$35-E36)))</f>
        <v/>
      </c>
      <c r="E37" s="21">
        <f>E36+D37</f>
        <v/>
      </c>
      <c r="F37" s="21">
        <f>IF(A37-Assumptions!$B$41&lt;1,0,INDEX($E$6:$E$65,A37-Assumptions!$B$41))</f>
        <v/>
      </c>
      <c r="G37" s="21">
        <f>IF(A37&lt;Assumptions!$B$45,0,MAX(0,MIN(Assumptions!$B$46,Assumptions!$B$44-H36)))</f>
        <v/>
      </c>
      <c r="H37" s="21">
        <f>H36+G37</f>
        <v/>
      </c>
      <c r="I37" s="21">
        <f>IF(A37-Assumptions!$B$52&lt;1,0,INDEX($H$6:$H$65,A37-Assumptions!$B$52))</f>
        <v/>
      </c>
      <c r="J37" s="21">
        <f>E37+H37</f>
        <v/>
      </c>
      <c r="K37" s="21">
        <f>F37+I37</f>
        <v/>
      </c>
      <c r="L37" s="33">
        <f>F37*Assumptions!$B$39+I37*Assumptions!$B$50</f>
        <v/>
      </c>
      <c r="M37" s="33">
        <f>D37*Assumptions!$B$38</f>
        <v/>
      </c>
      <c r="N37" s="33">
        <f>G37*Assumptions!$B$49</f>
        <v/>
      </c>
      <c r="O37" s="33">
        <f>M37+N37</f>
        <v/>
      </c>
      <c r="P37" s="59">
        <f>(D37*Assumptions!$B$40+G37*Assumptions!$B$51)/30/Assumptions!$B$19</f>
        <v/>
      </c>
    </row>
    <row r="38">
      <c r="A38" s="21" t="n">
        <v>33</v>
      </c>
      <c r="B38" s="34">
        <f>EDATE(Assumptions!$B$12,A38-1)</f>
        <v/>
      </c>
      <c r="C38" s="21">
        <f>ROUNDUP(A38/12,0)</f>
        <v/>
      </c>
      <c r="D38" s="21">
        <f>IF(A38&lt;Assumptions!$B$36,0,MAX(0,MIN(Assumptions!$B$37,Assumptions!$B$35-E37)))</f>
        <v/>
      </c>
      <c r="E38" s="21">
        <f>E37+D38</f>
        <v/>
      </c>
      <c r="F38" s="21">
        <f>IF(A38-Assumptions!$B$41&lt;1,0,INDEX($E$6:$E$65,A38-Assumptions!$B$41))</f>
        <v/>
      </c>
      <c r="G38" s="21">
        <f>IF(A38&lt;Assumptions!$B$45,0,MAX(0,MIN(Assumptions!$B$46,Assumptions!$B$44-H37)))</f>
        <v/>
      </c>
      <c r="H38" s="21">
        <f>H37+G38</f>
        <v/>
      </c>
      <c r="I38" s="21">
        <f>IF(A38-Assumptions!$B$52&lt;1,0,INDEX($H$6:$H$65,A38-Assumptions!$B$52))</f>
        <v/>
      </c>
      <c r="J38" s="21">
        <f>E38+H38</f>
        <v/>
      </c>
      <c r="K38" s="21">
        <f>F38+I38</f>
        <v/>
      </c>
      <c r="L38" s="33">
        <f>F38*Assumptions!$B$39+I38*Assumptions!$B$50</f>
        <v/>
      </c>
      <c r="M38" s="33">
        <f>D38*Assumptions!$B$38</f>
        <v/>
      </c>
      <c r="N38" s="33">
        <f>G38*Assumptions!$B$49</f>
        <v/>
      </c>
      <c r="O38" s="33">
        <f>M38+N38</f>
        <v/>
      </c>
      <c r="P38" s="59">
        <f>(D38*Assumptions!$B$40+G38*Assumptions!$B$51)/30/Assumptions!$B$19</f>
        <v/>
      </c>
    </row>
    <row r="39">
      <c r="A39" s="21" t="n">
        <v>34</v>
      </c>
      <c r="B39" s="34">
        <f>EDATE(Assumptions!$B$12,A39-1)</f>
        <v/>
      </c>
      <c r="C39" s="21">
        <f>ROUNDUP(A39/12,0)</f>
        <v/>
      </c>
      <c r="D39" s="21">
        <f>IF(A39&lt;Assumptions!$B$36,0,MAX(0,MIN(Assumptions!$B$37,Assumptions!$B$35-E38)))</f>
        <v/>
      </c>
      <c r="E39" s="21">
        <f>E38+D39</f>
        <v/>
      </c>
      <c r="F39" s="21">
        <f>IF(A39-Assumptions!$B$41&lt;1,0,INDEX($E$6:$E$65,A39-Assumptions!$B$41))</f>
        <v/>
      </c>
      <c r="G39" s="21">
        <f>IF(A39&lt;Assumptions!$B$45,0,MAX(0,MIN(Assumptions!$B$46,Assumptions!$B$44-H38)))</f>
        <v/>
      </c>
      <c r="H39" s="21">
        <f>H38+G39</f>
        <v/>
      </c>
      <c r="I39" s="21">
        <f>IF(A39-Assumptions!$B$52&lt;1,0,INDEX($H$6:$H$65,A39-Assumptions!$B$52))</f>
        <v/>
      </c>
      <c r="J39" s="21">
        <f>E39+H39</f>
        <v/>
      </c>
      <c r="K39" s="21">
        <f>F39+I39</f>
        <v/>
      </c>
      <c r="L39" s="33">
        <f>F39*Assumptions!$B$39+I39*Assumptions!$B$50</f>
        <v/>
      </c>
      <c r="M39" s="33">
        <f>D39*Assumptions!$B$38</f>
        <v/>
      </c>
      <c r="N39" s="33">
        <f>G39*Assumptions!$B$49</f>
        <v/>
      </c>
      <c r="O39" s="33">
        <f>M39+N39</f>
        <v/>
      </c>
      <c r="P39" s="59">
        <f>(D39*Assumptions!$B$40+G39*Assumptions!$B$51)/30/Assumptions!$B$19</f>
        <v/>
      </c>
    </row>
    <row r="40">
      <c r="A40" s="21" t="n">
        <v>35</v>
      </c>
      <c r="B40" s="34">
        <f>EDATE(Assumptions!$B$12,A40-1)</f>
        <v/>
      </c>
      <c r="C40" s="21">
        <f>ROUNDUP(A40/12,0)</f>
        <v/>
      </c>
      <c r="D40" s="21">
        <f>IF(A40&lt;Assumptions!$B$36,0,MAX(0,MIN(Assumptions!$B$37,Assumptions!$B$35-E39)))</f>
        <v/>
      </c>
      <c r="E40" s="21">
        <f>E39+D40</f>
        <v/>
      </c>
      <c r="F40" s="21">
        <f>IF(A40-Assumptions!$B$41&lt;1,0,INDEX($E$6:$E$65,A40-Assumptions!$B$41))</f>
        <v/>
      </c>
      <c r="G40" s="21">
        <f>IF(A40&lt;Assumptions!$B$45,0,MAX(0,MIN(Assumptions!$B$46,Assumptions!$B$44-H39)))</f>
        <v/>
      </c>
      <c r="H40" s="21">
        <f>H39+G40</f>
        <v/>
      </c>
      <c r="I40" s="21">
        <f>IF(A40-Assumptions!$B$52&lt;1,0,INDEX($H$6:$H$65,A40-Assumptions!$B$52))</f>
        <v/>
      </c>
      <c r="J40" s="21">
        <f>E40+H40</f>
        <v/>
      </c>
      <c r="K40" s="21">
        <f>F40+I40</f>
        <v/>
      </c>
      <c r="L40" s="33">
        <f>F40*Assumptions!$B$39+I40*Assumptions!$B$50</f>
        <v/>
      </c>
      <c r="M40" s="33">
        <f>D40*Assumptions!$B$38</f>
        <v/>
      </c>
      <c r="N40" s="33">
        <f>G40*Assumptions!$B$49</f>
        <v/>
      </c>
      <c r="O40" s="33">
        <f>M40+N40</f>
        <v/>
      </c>
      <c r="P40" s="59">
        <f>(D40*Assumptions!$B$40+G40*Assumptions!$B$51)/30/Assumptions!$B$19</f>
        <v/>
      </c>
    </row>
    <row r="41">
      <c r="A41" s="21" t="n">
        <v>36</v>
      </c>
      <c r="B41" s="34">
        <f>EDATE(Assumptions!$B$12,A41-1)</f>
        <v/>
      </c>
      <c r="C41" s="21">
        <f>ROUNDUP(A41/12,0)</f>
        <v/>
      </c>
      <c r="D41" s="21">
        <f>IF(A41&lt;Assumptions!$B$36,0,MAX(0,MIN(Assumptions!$B$37,Assumptions!$B$35-E40)))</f>
        <v/>
      </c>
      <c r="E41" s="21">
        <f>E40+D41</f>
        <v/>
      </c>
      <c r="F41" s="21">
        <f>IF(A41-Assumptions!$B$41&lt;1,0,INDEX($E$6:$E$65,A41-Assumptions!$B$41))</f>
        <v/>
      </c>
      <c r="G41" s="21">
        <f>IF(A41&lt;Assumptions!$B$45,0,MAX(0,MIN(Assumptions!$B$46,Assumptions!$B$44-H40)))</f>
        <v/>
      </c>
      <c r="H41" s="21">
        <f>H40+G41</f>
        <v/>
      </c>
      <c r="I41" s="21">
        <f>IF(A41-Assumptions!$B$52&lt;1,0,INDEX($H$6:$H$65,A41-Assumptions!$B$52))</f>
        <v/>
      </c>
      <c r="J41" s="21">
        <f>E41+H41</f>
        <v/>
      </c>
      <c r="K41" s="21">
        <f>F41+I41</f>
        <v/>
      </c>
      <c r="L41" s="33">
        <f>F41*Assumptions!$B$39+I41*Assumptions!$B$50</f>
        <v/>
      </c>
      <c r="M41" s="33">
        <f>D41*Assumptions!$B$38</f>
        <v/>
      </c>
      <c r="N41" s="33">
        <f>G41*Assumptions!$B$49</f>
        <v/>
      </c>
      <c r="O41" s="33">
        <f>M41+N41</f>
        <v/>
      </c>
      <c r="P41" s="59">
        <f>(D41*Assumptions!$B$40+G41*Assumptions!$B$51)/30/Assumptions!$B$19</f>
        <v/>
      </c>
    </row>
    <row r="42">
      <c r="A42" s="21" t="n">
        <v>37</v>
      </c>
      <c r="B42" s="34">
        <f>EDATE(Assumptions!$B$12,A42-1)</f>
        <v/>
      </c>
      <c r="C42" s="21">
        <f>ROUNDUP(A42/12,0)</f>
        <v/>
      </c>
      <c r="D42" s="21">
        <f>IF(A42&lt;Assumptions!$B$36,0,MAX(0,MIN(Assumptions!$B$37,Assumptions!$B$35-E41)))</f>
        <v/>
      </c>
      <c r="E42" s="21">
        <f>E41+D42</f>
        <v/>
      </c>
      <c r="F42" s="21">
        <f>IF(A42-Assumptions!$B$41&lt;1,0,INDEX($E$6:$E$65,A42-Assumptions!$B$41))</f>
        <v/>
      </c>
      <c r="G42" s="21">
        <f>IF(A42&lt;Assumptions!$B$45,0,MAX(0,MIN(Assumptions!$B$46,Assumptions!$B$44-H41)))</f>
        <v/>
      </c>
      <c r="H42" s="21">
        <f>H41+G42</f>
        <v/>
      </c>
      <c r="I42" s="21">
        <f>IF(A42-Assumptions!$B$52&lt;1,0,INDEX($H$6:$H$65,A42-Assumptions!$B$52))</f>
        <v/>
      </c>
      <c r="J42" s="21">
        <f>E42+H42</f>
        <v/>
      </c>
      <c r="K42" s="21">
        <f>F42+I42</f>
        <v/>
      </c>
      <c r="L42" s="33">
        <f>F42*Assumptions!$B$39+I42*Assumptions!$B$50</f>
        <v/>
      </c>
      <c r="M42" s="33">
        <f>D42*Assumptions!$B$38</f>
        <v/>
      </c>
      <c r="N42" s="33">
        <f>G42*Assumptions!$B$49</f>
        <v/>
      </c>
      <c r="O42" s="33">
        <f>M42+N42</f>
        <v/>
      </c>
      <c r="P42" s="59">
        <f>(D42*Assumptions!$B$40+G42*Assumptions!$B$51)/30/Assumptions!$B$19</f>
        <v/>
      </c>
    </row>
    <row r="43">
      <c r="A43" s="21" t="n">
        <v>38</v>
      </c>
      <c r="B43" s="34">
        <f>EDATE(Assumptions!$B$12,A43-1)</f>
        <v/>
      </c>
      <c r="C43" s="21">
        <f>ROUNDUP(A43/12,0)</f>
        <v/>
      </c>
      <c r="D43" s="21">
        <f>IF(A43&lt;Assumptions!$B$36,0,MAX(0,MIN(Assumptions!$B$37,Assumptions!$B$35-E42)))</f>
        <v/>
      </c>
      <c r="E43" s="21">
        <f>E42+D43</f>
        <v/>
      </c>
      <c r="F43" s="21">
        <f>IF(A43-Assumptions!$B$41&lt;1,0,INDEX($E$6:$E$65,A43-Assumptions!$B$41))</f>
        <v/>
      </c>
      <c r="G43" s="21">
        <f>IF(A43&lt;Assumptions!$B$45,0,MAX(0,MIN(Assumptions!$B$46,Assumptions!$B$44-H42)))</f>
        <v/>
      </c>
      <c r="H43" s="21">
        <f>H42+G43</f>
        <v/>
      </c>
      <c r="I43" s="21">
        <f>IF(A43-Assumptions!$B$52&lt;1,0,INDEX($H$6:$H$65,A43-Assumptions!$B$52))</f>
        <v/>
      </c>
      <c r="J43" s="21">
        <f>E43+H43</f>
        <v/>
      </c>
      <c r="K43" s="21">
        <f>F43+I43</f>
        <v/>
      </c>
      <c r="L43" s="33">
        <f>F43*Assumptions!$B$39+I43*Assumptions!$B$50</f>
        <v/>
      </c>
      <c r="M43" s="33">
        <f>D43*Assumptions!$B$38</f>
        <v/>
      </c>
      <c r="N43" s="33">
        <f>G43*Assumptions!$B$49</f>
        <v/>
      </c>
      <c r="O43" s="33">
        <f>M43+N43</f>
        <v/>
      </c>
      <c r="P43" s="59">
        <f>(D43*Assumptions!$B$40+G43*Assumptions!$B$51)/30/Assumptions!$B$19</f>
        <v/>
      </c>
    </row>
    <row r="44">
      <c r="A44" s="21" t="n">
        <v>39</v>
      </c>
      <c r="B44" s="34">
        <f>EDATE(Assumptions!$B$12,A44-1)</f>
        <v/>
      </c>
      <c r="C44" s="21">
        <f>ROUNDUP(A44/12,0)</f>
        <v/>
      </c>
      <c r="D44" s="21">
        <f>IF(A44&lt;Assumptions!$B$36,0,MAX(0,MIN(Assumptions!$B$37,Assumptions!$B$35-E43)))</f>
        <v/>
      </c>
      <c r="E44" s="21">
        <f>E43+D44</f>
        <v/>
      </c>
      <c r="F44" s="21">
        <f>IF(A44-Assumptions!$B$41&lt;1,0,INDEX($E$6:$E$65,A44-Assumptions!$B$41))</f>
        <v/>
      </c>
      <c r="G44" s="21">
        <f>IF(A44&lt;Assumptions!$B$45,0,MAX(0,MIN(Assumptions!$B$46,Assumptions!$B$44-H43)))</f>
        <v/>
      </c>
      <c r="H44" s="21">
        <f>H43+G44</f>
        <v/>
      </c>
      <c r="I44" s="21">
        <f>IF(A44-Assumptions!$B$52&lt;1,0,INDEX($H$6:$H$65,A44-Assumptions!$B$52))</f>
        <v/>
      </c>
      <c r="J44" s="21">
        <f>E44+H44</f>
        <v/>
      </c>
      <c r="K44" s="21">
        <f>F44+I44</f>
        <v/>
      </c>
      <c r="L44" s="33">
        <f>F44*Assumptions!$B$39+I44*Assumptions!$B$50</f>
        <v/>
      </c>
      <c r="M44" s="33">
        <f>D44*Assumptions!$B$38</f>
        <v/>
      </c>
      <c r="N44" s="33">
        <f>G44*Assumptions!$B$49</f>
        <v/>
      </c>
      <c r="O44" s="33">
        <f>M44+N44</f>
        <v/>
      </c>
      <c r="P44" s="59">
        <f>(D44*Assumptions!$B$40+G44*Assumptions!$B$51)/30/Assumptions!$B$19</f>
        <v/>
      </c>
    </row>
    <row r="45">
      <c r="A45" s="21" t="n">
        <v>40</v>
      </c>
      <c r="B45" s="34">
        <f>EDATE(Assumptions!$B$12,A45-1)</f>
        <v/>
      </c>
      <c r="C45" s="21">
        <f>ROUNDUP(A45/12,0)</f>
        <v/>
      </c>
      <c r="D45" s="21">
        <f>IF(A45&lt;Assumptions!$B$36,0,MAX(0,MIN(Assumptions!$B$37,Assumptions!$B$35-E44)))</f>
        <v/>
      </c>
      <c r="E45" s="21">
        <f>E44+D45</f>
        <v/>
      </c>
      <c r="F45" s="21">
        <f>IF(A45-Assumptions!$B$41&lt;1,0,INDEX($E$6:$E$65,A45-Assumptions!$B$41))</f>
        <v/>
      </c>
      <c r="G45" s="21">
        <f>IF(A45&lt;Assumptions!$B$45,0,MAX(0,MIN(Assumptions!$B$46,Assumptions!$B$44-H44)))</f>
        <v/>
      </c>
      <c r="H45" s="21">
        <f>H44+G45</f>
        <v/>
      </c>
      <c r="I45" s="21">
        <f>IF(A45-Assumptions!$B$52&lt;1,0,INDEX($H$6:$H$65,A45-Assumptions!$B$52))</f>
        <v/>
      </c>
      <c r="J45" s="21">
        <f>E45+H45</f>
        <v/>
      </c>
      <c r="K45" s="21">
        <f>F45+I45</f>
        <v/>
      </c>
      <c r="L45" s="33">
        <f>F45*Assumptions!$B$39+I45*Assumptions!$B$50</f>
        <v/>
      </c>
      <c r="M45" s="33">
        <f>D45*Assumptions!$B$38</f>
        <v/>
      </c>
      <c r="N45" s="33">
        <f>G45*Assumptions!$B$49</f>
        <v/>
      </c>
      <c r="O45" s="33">
        <f>M45+N45</f>
        <v/>
      </c>
      <c r="P45" s="59">
        <f>(D45*Assumptions!$B$40+G45*Assumptions!$B$51)/30/Assumptions!$B$19</f>
        <v/>
      </c>
    </row>
    <row r="46">
      <c r="A46" s="21" t="n">
        <v>41</v>
      </c>
      <c r="B46" s="34">
        <f>EDATE(Assumptions!$B$12,A46-1)</f>
        <v/>
      </c>
      <c r="C46" s="21">
        <f>ROUNDUP(A46/12,0)</f>
        <v/>
      </c>
      <c r="D46" s="21">
        <f>IF(A46&lt;Assumptions!$B$36,0,MAX(0,MIN(Assumptions!$B$37,Assumptions!$B$35-E45)))</f>
        <v/>
      </c>
      <c r="E46" s="21">
        <f>E45+D46</f>
        <v/>
      </c>
      <c r="F46" s="21">
        <f>IF(A46-Assumptions!$B$41&lt;1,0,INDEX($E$6:$E$65,A46-Assumptions!$B$41))</f>
        <v/>
      </c>
      <c r="G46" s="21">
        <f>IF(A46&lt;Assumptions!$B$45,0,MAX(0,MIN(Assumptions!$B$46,Assumptions!$B$44-H45)))</f>
        <v/>
      </c>
      <c r="H46" s="21">
        <f>H45+G46</f>
        <v/>
      </c>
      <c r="I46" s="21">
        <f>IF(A46-Assumptions!$B$52&lt;1,0,INDEX($H$6:$H$65,A46-Assumptions!$B$52))</f>
        <v/>
      </c>
      <c r="J46" s="21">
        <f>E46+H46</f>
        <v/>
      </c>
      <c r="K46" s="21">
        <f>F46+I46</f>
        <v/>
      </c>
      <c r="L46" s="33">
        <f>F46*Assumptions!$B$39+I46*Assumptions!$B$50</f>
        <v/>
      </c>
      <c r="M46" s="33">
        <f>D46*Assumptions!$B$38</f>
        <v/>
      </c>
      <c r="N46" s="33">
        <f>G46*Assumptions!$B$49</f>
        <v/>
      </c>
      <c r="O46" s="33">
        <f>M46+N46</f>
        <v/>
      </c>
      <c r="P46" s="59">
        <f>(D46*Assumptions!$B$40+G46*Assumptions!$B$51)/30/Assumptions!$B$19</f>
        <v/>
      </c>
    </row>
    <row r="47">
      <c r="A47" s="21" t="n">
        <v>42</v>
      </c>
      <c r="B47" s="34">
        <f>EDATE(Assumptions!$B$12,A47-1)</f>
        <v/>
      </c>
      <c r="C47" s="21">
        <f>ROUNDUP(A47/12,0)</f>
        <v/>
      </c>
      <c r="D47" s="21">
        <f>IF(A47&lt;Assumptions!$B$36,0,MAX(0,MIN(Assumptions!$B$37,Assumptions!$B$35-E46)))</f>
        <v/>
      </c>
      <c r="E47" s="21">
        <f>E46+D47</f>
        <v/>
      </c>
      <c r="F47" s="21">
        <f>IF(A47-Assumptions!$B$41&lt;1,0,INDEX($E$6:$E$65,A47-Assumptions!$B$41))</f>
        <v/>
      </c>
      <c r="G47" s="21">
        <f>IF(A47&lt;Assumptions!$B$45,0,MAX(0,MIN(Assumptions!$B$46,Assumptions!$B$44-H46)))</f>
        <v/>
      </c>
      <c r="H47" s="21">
        <f>H46+G47</f>
        <v/>
      </c>
      <c r="I47" s="21">
        <f>IF(A47-Assumptions!$B$52&lt;1,0,INDEX($H$6:$H$65,A47-Assumptions!$B$52))</f>
        <v/>
      </c>
      <c r="J47" s="21">
        <f>E47+H47</f>
        <v/>
      </c>
      <c r="K47" s="21">
        <f>F47+I47</f>
        <v/>
      </c>
      <c r="L47" s="33">
        <f>F47*Assumptions!$B$39+I47*Assumptions!$B$50</f>
        <v/>
      </c>
      <c r="M47" s="33">
        <f>D47*Assumptions!$B$38</f>
        <v/>
      </c>
      <c r="N47" s="33">
        <f>G47*Assumptions!$B$49</f>
        <v/>
      </c>
      <c r="O47" s="33">
        <f>M47+N47</f>
        <v/>
      </c>
      <c r="P47" s="59">
        <f>(D47*Assumptions!$B$40+G47*Assumptions!$B$51)/30/Assumptions!$B$19</f>
        <v/>
      </c>
    </row>
    <row r="48">
      <c r="A48" s="21" t="n">
        <v>43</v>
      </c>
      <c r="B48" s="34">
        <f>EDATE(Assumptions!$B$12,A48-1)</f>
        <v/>
      </c>
      <c r="C48" s="21">
        <f>ROUNDUP(A48/12,0)</f>
        <v/>
      </c>
      <c r="D48" s="21">
        <f>IF(A48&lt;Assumptions!$B$36,0,MAX(0,MIN(Assumptions!$B$37,Assumptions!$B$35-E47)))</f>
        <v/>
      </c>
      <c r="E48" s="21">
        <f>E47+D48</f>
        <v/>
      </c>
      <c r="F48" s="21">
        <f>IF(A48-Assumptions!$B$41&lt;1,0,INDEX($E$6:$E$65,A48-Assumptions!$B$41))</f>
        <v/>
      </c>
      <c r="G48" s="21">
        <f>IF(A48&lt;Assumptions!$B$45,0,MAX(0,MIN(Assumptions!$B$46,Assumptions!$B$44-H47)))</f>
        <v/>
      </c>
      <c r="H48" s="21">
        <f>H47+G48</f>
        <v/>
      </c>
      <c r="I48" s="21">
        <f>IF(A48-Assumptions!$B$52&lt;1,0,INDEX($H$6:$H$65,A48-Assumptions!$B$52))</f>
        <v/>
      </c>
      <c r="J48" s="21">
        <f>E48+H48</f>
        <v/>
      </c>
      <c r="K48" s="21">
        <f>F48+I48</f>
        <v/>
      </c>
      <c r="L48" s="33">
        <f>F48*Assumptions!$B$39+I48*Assumptions!$B$50</f>
        <v/>
      </c>
      <c r="M48" s="33">
        <f>D48*Assumptions!$B$38</f>
        <v/>
      </c>
      <c r="N48" s="33">
        <f>G48*Assumptions!$B$49</f>
        <v/>
      </c>
      <c r="O48" s="33">
        <f>M48+N48</f>
        <v/>
      </c>
      <c r="P48" s="59">
        <f>(D48*Assumptions!$B$40+G48*Assumptions!$B$51)/30/Assumptions!$B$19</f>
        <v/>
      </c>
    </row>
    <row r="49">
      <c r="A49" s="21" t="n">
        <v>44</v>
      </c>
      <c r="B49" s="34">
        <f>EDATE(Assumptions!$B$12,A49-1)</f>
        <v/>
      </c>
      <c r="C49" s="21">
        <f>ROUNDUP(A49/12,0)</f>
        <v/>
      </c>
      <c r="D49" s="21">
        <f>IF(A49&lt;Assumptions!$B$36,0,MAX(0,MIN(Assumptions!$B$37,Assumptions!$B$35-E48)))</f>
        <v/>
      </c>
      <c r="E49" s="21">
        <f>E48+D49</f>
        <v/>
      </c>
      <c r="F49" s="21">
        <f>IF(A49-Assumptions!$B$41&lt;1,0,INDEX($E$6:$E$65,A49-Assumptions!$B$41))</f>
        <v/>
      </c>
      <c r="G49" s="21">
        <f>IF(A49&lt;Assumptions!$B$45,0,MAX(0,MIN(Assumptions!$B$46,Assumptions!$B$44-H48)))</f>
        <v/>
      </c>
      <c r="H49" s="21">
        <f>H48+G49</f>
        <v/>
      </c>
      <c r="I49" s="21">
        <f>IF(A49-Assumptions!$B$52&lt;1,0,INDEX($H$6:$H$65,A49-Assumptions!$B$52))</f>
        <v/>
      </c>
      <c r="J49" s="21">
        <f>E49+H49</f>
        <v/>
      </c>
      <c r="K49" s="21">
        <f>F49+I49</f>
        <v/>
      </c>
      <c r="L49" s="33">
        <f>F49*Assumptions!$B$39+I49*Assumptions!$B$50</f>
        <v/>
      </c>
      <c r="M49" s="33">
        <f>D49*Assumptions!$B$38</f>
        <v/>
      </c>
      <c r="N49" s="33">
        <f>G49*Assumptions!$B$49</f>
        <v/>
      </c>
      <c r="O49" s="33">
        <f>M49+N49</f>
        <v/>
      </c>
      <c r="P49" s="59">
        <f>(D49*Assumptions!$B$40+G49*Assumptions!$B$51)/30/Assumptions!$B$19</f>
        <v/>
      </c>
    </row>
    <row r="50">
      <c r="A50" s="21" t="n">
        <v>45</v>
      </c>
      <c r="B50" s="34">
        <f>EDATE(Assumptions!$B$12,A50-1)</f>
        <v/>
      </c>
      <c r="C50" s="21">
        <f>ROUNDUP(A50/12,0)</f>
        <v/>
      </c>
      <c r="D50" s="21">
        <f>IF(A50&lt;Assumptions!$B$36,0,MAX(0,MIN(Assumptions!$B$37,Assumptions!$B$35-E49)))</f>
        <v/>
      </c>
      <c r="E50" s="21">
        <f>E49+D50</f>
        <v/>
      </c>
      <c r="F50" s="21">
        <f>IF(A50-Assumptions!$B$41&lt;1,0,INDEX($E$6:$E$65,A50-Assumptions!$B$41))</f>
        <v/>
      </c>
      <c r="G50" s="21">
        <f>IF(A50&lt;Assumptions!$B$45,0,MAX(0,MIN(Assumptions!$B$46,Assumptions!$B$44-H49)))</f>
        <v/>
      </c>
      <c r="H50" s="21">
        <f>H49+G50</f>
        <v/>
      </c>
      <c r="I50" s="21">
        <f>IF(A50-Assumptions!$B$52&lt;1,0,INDEX($H$6:$H$65,A50-Assumptions!$B$52))</f>
        <v/>
      </c>
      <c r="J50" s="21">
        <f>E50+H50</f>
        <v/>
      </c>
      <c r="K50" s="21">
        <f>F50+I50</f>
        <v/>
      </c>
      <c r="L50" s="33">
        <f>F50*Assumptions!$B$39+I50*Assumptions!$B$50</f>
        <v/>
      </c>
      <c r="M50" s="33">
        <f>D50*Assumptions!$B$38</f>
        <v/>
      </c>
      <c r="N50" s="33">
        <f>G50*Assumptions!$B$49</f>
        <v/>
      </c>
      <c r="O50" s="33">
        <f>M50+N50</f>
        <v/>
      </c>
      <c r="P50" s="59">
        <f>(D50*Assumptions!$B$40+G50*Assumptions!$B$51)/30/Assumptions!$B$19</f>
        <v/>
      </c>
    </row>
    <row r="51">
      <c r="A51" s="21" t="n">
        <v>46</v>
      </c>
      <c r="B51" s="34">
        <f>EDATE(Assumptions!$B$12,A51-1)</f>
        <v/>
      </c>
      <c r="C51" s="21">
        <f>ROUNDUP(A51/12,0)</f>
        <v/>
      </c>
      <c r="D51" s="21">
        <f>IF(A51&lt;Assumptions!$B$36,0,MAX(0,MIN(Assumptions!$B$37,Assumptions!$B$35-E50)))</f>
        <v/>
      </c>
      <c r="E51" s="21">
        <f>E50+D51</f>
        <v/>
      </c>
      <c r="F51" s="21">
        <f>IF(A51-Assumptions!$B$41&lt;1,0,INDEX($E$6:$E$65,A51-Assumptions!$B$41))</f>
        <v/>
      </c>
      <c r="G51" s="21">
        <f>IF(A51&lt;Assumptions!$B$45,0,MAX(0,MIN(Assumptions!$B$46,Assumptions!$B$44-H50)))</f>
        <v/>
      </c>
      <c r="H51" s="21">
        <f>H50+G51</f>
        <v/>
      </c>
      <c r="I51" s="21">
        <f>IF(A51-Assumptions!$B$52&lt;1,0,INDEX($H$6:$H$65,A51-Assumptions!$B$52))</f>
        <v/>
      </c>
      <c r="J51" s="21">
        <f>E51+H51</f>
        <v/>
      </c>
      <c r="K51" s="21">
        <f>F51+I51</f>
        <v/>
      </c>
      <c r="L51" s="33">
        <f>F51*Assumptions!$B$39+I51*Assumptions!$B$50</f>
        <v/>
      </c>
      <c r="M51" s="33">
        <f>D51*Assumptions!$B$38</f>
        <v/>
      </c>
      <c r="N51" s="33">
        <f>G51*Assumptions!$B$49</f>
        <v/>
      </c>
      <c r="O51" s="33">
        <f>M51+N51</f>
        <v/>
      </c>
      <c r="P51" s="59">
        <f>(D51*Assumptions!$B$40+G51*Assumptions!$B$51)/30/Assumptions!$B$19</f>
        <v/>
      </c>
    </row>
    <row r="52">
      <c r="A52" s="21" t="n">
        <v>47</v>
      </c>
      <c r="B52" s="34">
        <f>EDATE(Assumptions!$B$12,A52-1)</f>
        <v/>
      </c>
      <c r="C52" s="21">
        <f>ROUNDUP(A52/12,0)</f>
        <v/>
      </c>
      <c r="D52" s="21">
        <f>IF(A52&lt;Assumptions!$B$36,0,MAX(0,MIN(Assumptions!$B$37,Assumptions!$B$35-E51)))</f>
        <v/>
      </c>
      <c r="E52" s="21">
        <f>E51+D52</f>
        <v/>
      </c>
      <c r="F52" s="21">
        <f>IF(A52-Assumptions!$B$41&lt;1,0,INDEX($E$6:$E$65,A52-Assumptions!$B$41))</f>
        <v/>
      </c>
      <c r="G52" s="21">
        <f>IF(A52&lt;Assumptions!$B$45,0,MAX(0,MIN(Assumptions!$B$46,Assumptions!$B$44-H51)))</f>
        <v/>
      </c>
      <c r="H52" s="21">
        <f>H51+G52</f>
        <v/>
      </c>
      <c r="I52" s="21">
        <f>IF(A52-Assumptions!$B$52&lt;1,0,INDEX($H$6:$H$65,A52-Assumptions!$B$52))</f>
        <v/>
      </c>
      <c r="J52" s="21">
        <f>E52+H52</f>
        <v/>
      </c>
      <c r="K52" s="21">
        <f>F52+I52</f>
        <v/>
      </c>
      <c r="L52" s="33">
        <f>F52*Assumptions!$B$39+I52*Assumptions!$B$50</f>
        <v/>
      </c>
      <c r="M52" s="33">
        <f>D52*Assumptions!$B$38</f>
        <v/>
      </c>
      <c r="N52" s="33">
        <f>G52*Assumptions!$B$49</f>
        <v/>
      </c>
      <c r="O52" s="33">
        <f>M52+N52</f>
        <v/>
      </c>
      <c r="P52" s="59">
        <f>(D52*Assumptions!$B$40+G52*Assumptions!$B$51)/30/Assumptions!$B$19</f>
        <v/>
      </c>
    </row>
    <row r="53">
      <c r="A53" s="21" t="n">
        <v>48</v>
      </c>
      <c r="B53" s="34">
        <f>EDATE(Assumptions!$B$12,A53-1)</f>
        <v/>
      </c>
      <c r="C53" s="21">
        <f>ROUNDUP(A53/12,0)</f>
        <v/>
      </c>
      <c r="D53" s="21">
        <f>IF(A53&lt;Assumptions!$B$36,0,MAX(0,MIN(Assumptions!$B$37,Assumptions!$B$35-E52)))</f>
        <v/>
      </c>
      <c r="E53" s="21">
        <f>E52+D53</f>
        <v/>
      </c>
      <c r="F53" s="21">
        <f>IF(A53-Assumptions!$B$41&lt;1,0,INDEX($E$6:$E$65,A53-Assumptions!$B$41))</f>
        <v/>
      </c>
      <c r="G53" s="21">
        <f>IF(A53&lt;Assumptions!$B$45,0,MAX(0,MIN(Assumptions!$B$46,Assumptions!$B$44-H52)))</f>
        <v/>
      </c>
      <c r="H53" s="21">
        <f>H52+G53</f>
        <v/>
      </c>
      <c r="I53" s="21">
        <f>IF(A53-Assumptions!$B$52&lt;1,0,INDEX($H$6:$H$65,A53-Assumptions!$B$52))</f>
        <v/>
      </c>
      <c r="J53" s="21">
        <f>E53+H53</f>
        <v/>
      </c>
      <c r="K53" s="21">
        <f>F53+I53</f>
        <v/>
      </c>
      <c r="L53" s="33">
        <f>F53*Assumptions!$B$39+I53*Assumptions!$B$50</f>
        <v/>
      </c>
      <c r="M53" s="33">
        <f>D53*Assumptions!$B$38</f>
        <v/>
      </c>
      <c r="N53" s="33">
        <f>G53*Assumptions!$B$49</f>
        <v/>
      </c>
      <c r="O53" s="33">
        <f>M53+N53</f>
        <v/>
      </c>
      <c r="P53" s="59">
        <f>(D53*Assumptions!$B$40+G53*Assumptions!$B$51)/30/Assumptions!$B$19</f>
        <v/>
      </c>
    </row>
    <row r="54">
      <c r="A54" s="21" t="n">
        <v>49</v>
      </c>
      <c r="B54" s="34">
        <f>EDATE(Assumptions!$B$12,A54-1)</f>
        <v/>
      </c>
      <c r="C54" s="21">
        <f>ROUNDUP(A54/12,0)</f>
        <v/>
      </c>
      <c r="D54" s="21">
        <f>IF(A54&lt;Assumptions!$B$36,0,MAX(0,MIN(Assumptions!$B$37,Assumptions!$B$35-E53)))</f>
        <v/>
      </c>
      <c r="E54" s="21">
        <f>E53+D54</f>
        <v/>
      </c>
      <c r="F54" s="21">
        <f>IF(A54-Assumptions!$B$41&lt;1,0,INDEX($E$6:$E$65,A54-Assumptions!$B$41))</f>
        <v/>
      </c>
      <c r="G54" s="21">
        <f>IF(A54&lt;Assumptions!$B$45,0,MAX(0,MIN(Assumptions!$B$46,Assumptions!$B$44-H53)))</f>
        <v/>
      </c>
      <c r="H54" s="21">
        <f>H53+G54</f>
        <v/>
      </c>
      <c r="I54" s="21">
        <f>IF(A54-Assumptions!$B$52&lt;1,0,INDEX($H$6:$H$65,A54-Assumptions!$B$52))</f>
        <v/>
      </c>
      <c r="J54" s="21">
        <f>E54+H54</f>
        <v/>
      </c>
      <c r="K54" s="21">
        <f>F54+I54</f>
        <v/>
      </c>
      <c r="L54" s="33">
        <f>F54*Assumptions!$B$39+I54*Assumptions!$B$50</f>
        <v/>
      </c>
      <c r="M54" s="33">
        <f>D54*Assumptions!$B$38</f>
        <v/>
      </c>
      <c r="N54" s="33">
        <f>G54*Assumptions!$B$49</f>
        <v/>
      </c>
      <c r="O54" s="33">
        <f>M54+N54</f>
        <v/>
      </c>
      <c r="P54" s="59">
        <f>(D54*Assumptions!$B$40+G54*Assumptions!$B$51)/30/Assumptions!$B$19</f>
        <v/>
      </c>
    </row>
    <row r="55">
      <c r="A55" s="21" t="n">
        <v>50</v>
      </c>
      <c r="B55" s="34">
        <f>EDATE(Assumptions!$B$12,A55-1)</f>
        <v/>
      </c>
      <c r="C55" s="21">
        <f>ROUNDUP(A55/12,0)</f>
        <v/>
      </c>
      <c r="D55" s="21">
        <f>IF(A55&lt;Assumptions!$B$36,0,MAX(0,MIN(Assumptions!$B$37,Assumptions!$B$35-E54)))</f>
        <v/>
      </c>
      <c r="E55" s="21">
        <f>E54+D55</f>
        <v/>
      </c>
      <c r="F55" s="21">
        <f>IF(A55-Assumptions!$B$41&lt;1,0,INDEX($E$6:$E$65,A55-Assumptions!$B$41))</f>
        <v/>
      </c>
      <c r="G55" s="21">
        <f>IF(A55&lt;Assumptions!$B$45,0,MAX(0,MIN(Assumptions!$B$46,Assumptions!$B$44-H54)))</f>
        <v/>
      </c>
      <c r="H55" s="21">
        <f>H54+G55</f>
        <v/>
      </c>
      <c r="I55" s="21">
        <f>IF(A55-Assumptions!$B$52&lt;1,0,INDEX($H$6:$H$65,A55-Assumptions!$B$52))</f>
        <v/>
      </c>
      <c r="J55" s="21">
        <f>E55+H55</f>
        <v/>
      </c>
      <c r="K55" s="21">
        <f>F55+I55</f>
        <v/>
      </c>
      <c r="L55" s="33">
        <f>F55*Assumptions!$B$39+I55*Assumptions!$B$50</f>
        <v/>
      </c>
      <c r="M55" s="33">
        <f>D55*Assumptions!$B$38</f>
        <v/>
      </c>
      <c r="N55" s="33">
        <f>G55*Assumptions!$B$49</f>
        <v/>
      </c>
      <c r="O55" s="33">
        <f>M55+N55</f>
        <v/>
      </c>
      <c r="P55" s="59">
        <f>(D55*Assumptions!$B$40+G55*Assumptions!$B$51)/30/Assumptions!$B$19</f>
        <v/>
      </c>
    </row>
    <row r="56">
      <c r="A56" s="21" t="n">
        <v>51</v>
      </c>
      <c r="B56" s="34">
        <f>EDATE(Assumptions!$B$12,A56-1)</f>
        <v/>
      </c>
      <c r="C56" s="21">
        <f>ROUNDUP(A56/12,0)</f>
        <v/>
      </c>
      <c r="D56" s="21">
        <f>IF(A56&lt;Assumptions!$B$36,0,MAX(0,MIN(Assumptions!$B$37,Assumptions!$B$35-E55)))</f>
        <v/>
      </c>
      <c r="E56" s="21">
        <f>E55+D56</f>
        <v/>
      </c>
      <c r="F56" s="21">
        <f>IF(A56-Assumptions!$B$41&lt;1,0,INDEX($E$6:$E$65,A56-Assumptions!$B$41))</f>
        <v/>
      </c>
      <c r="G56" s="21">
        <f>IF(A56&lt;Assumptions!$B$45,0,MAX(0,MIN(Assumptions!$B$46,Assumptions!$B$44-H55)))</f>
        <v/>
      </c>
      <c r="H56" s="21">
        <f>H55+G56</f>
        <v/>
      </c>
      <c r="I56" s="21">
        <f>IF(A56-Assumptions!$B$52&lt;1,0,INDEX($H$6:$H$65,A56-Assumptions!$B$52))</f>
        <v/>
      </c>
      <c r="J56" s="21">
        <f>E56+H56</f>
        <v/>
      </c>
      <c r="K56" s="21">
        <f>F56+I56</f>
        <v/>
      </c>
      <c r="L56" s="33">
        <f>F56*Assumptions!$B$39+I56*Assumptions!$B$50</f>
        <v/>
      </c>
      <c r="M56" s="33">
        <f>D56*Assumptions!$B$38</f>
        <v/>
      </c>
      <c r="N56" s="33">
        <f>G56*Assumptions!$B$49</f>
        <v/>
      </c>
      <c r="O56" s="33">
        <f>M56+N56</f>
        <v/>
      </c>
      <c r="P56" s="59">
        <f>(D56*Assumptions!$B$40+G56*Assumptions!$B$51)/30/Assumptions!$B$19</f>
        <v/>
      </c>
    </row>
    <row r="57">
      <c r="A57" s="21" t="n">
        <v>52</v>
      </c>
      <c r="B57" s="34">
        <f>EDATE(Assumptions!$B$12,A57-1)</f>
        <v/>
      </c>
      <c r="C57" s="21">
        <f>ROUNDUP(A57/12,0)</f>
        <v/>
      </c>
      <c r="D57" s="21">
        <f>IF(A57&lt;Assumptions!$B$36,0,MAX(0,MIN(Assumptions!$B$37,Assumptions!$B$35-E56)))</f>
        <v/>
      </c>
      <c r="E57" s="21">
        <f>E56+D57</f>
        <v/>
      </c>
      <c r="F57" s="21">
        <f>IF(A57-Assumptions!$B$41&lt;1,0,INDEX($E$6:$E$65,A57-Assumptions!$B$41))</f>
        <v/>
      </c>
      <c r="G57" s="21">
        <f>IF(A57&lt;Assumptions!$B$45,0,MAX(0,MIN(Assumptions!$B$46,Assumptions!$B$44-H56)))</f>
        <v/>
      </c>
      <c r="H57" s="21">
        <f>H56+G57</f>
        <v/>
      </c>
      <c r="I57" s="21">
        <f>IF(A57-Assumptions!$B$52&lt;1,0,INDEX($H$6:$H$65,A57-Assumptions!$B$52))</f>
        <v/>
      </c>
      <c r="J57" s="21">
        <f>E57+H57</f>
        <v/>
      </c>
      <c r="K57" s="21">
        <f>F57+I57</f>
        <v/>
      </c>
      <c r="L57" s="33">
        <f>F57*Assumptions!$B$39+I57*Assumptions!$B$50</f>
        <v/>
      </c>
      <c r="M57" s="33">
        <f>D57*Assumptions!$B$38</f>
        <v/>
      </c>
      <c r="N57" s="33">
        <f>G57*Assumptions!$B$49</f>
        <v/>
      </c>
      <c r="O57" s="33">
        <f>M57+N57</f>
        <v/>
      </c>
      <c r="P57" s="59">
        <f>(D57*Assumptions!$B$40+G57*Assumptions!$B$51)/30/Assumptions!$B$19</f>
        <v/>
      </c>
    </row>
    <row r="58">
      <c r="A58" s="21" t="n">
        <v>53</v>
      </c>
      <c r="B58" s="34">
        <f>EDATE(Assumptions!$B$12,A58-1)</f>
        <v/>
      </c>
      <c r="C58" s="21">
        <f>ROUNDUP(A58/12,0)</f>
        <v/>
      </c>
      <c r="D58" s="21">
        <f>IF(A58&lt;Assumptions!$B$36,0,MAX(0,MIN(Assumptions!$B$37,Assumptions!$B$35-E57)))</f>
        <v/>
      </c>
      <c r="E58" s="21">
        <f>E57+D58</f>
        <v/>
      </c>
      <c r="F58" s="21">
        <f>IF(A58-Assumptions!$B$41&lt;1,0,INDEX($E$6:$E$65,A58-Assumptions!$B$41))</f>
        <v/>
      </c>
      <c r="G58" s="21">
        <f>IF(A58&lt;Assumptions!$B$45,0,MAX(0,MIN(Assumptions!$B$46,Assumptions!$B$44-H57)))</f>
        <v/>
      </c>
      <c r="H58" s="21">
        <f>H57+G58</f>
        <v/>
      </c>
      <c r="I58" s="21">
        <f>IF(A58-Assumptions!$B$52&lt;1,0,INDEX($H$6:$H$65,A58-Assumptions!$B$52))</f>
        <v/>
      </c>
      <c r="J58" s="21">
        <f>E58+H58</f>
        <v/>
      </c>
      <c r="K58" s="21">
        <f>F58+I58</f>
        <v/>
      </c>
      <c r="L58" s="33">
        <f>F58*Assumptions!$B$39+I58*Assumptions!$B$50</f>
        <v/>
      </c>
      <c r="M58" s="33">
        <f>D58*Assumptions!$B$38</f>
        <v/>
      </c>
      <c r="N58" s="33">
        <f>G58*Assumptions!$B$49</f>
        <v/>
      </c>
      <c r="O58" s="33">
        <f>M58+N58</f>
        <v/>
      </c>
      <c r="P58" s="59">
        <f>(D58*Assumptions!$B$40+G58*Assumptions!$B$51)/30/Assumptions!$B$19</f>
        <v/>
      </c>
    </row>
    <row r="59">
      <c r="A59" s="21" t="n">
        <v>54</v>
      </c>
      <c r="B59" s="34">
        <f>EDATE(Assumptions!$B$12,A59-1)</f>
        <v/>
      </c>
      <c r="C59" s="21">
        <f>ROUNDUP(A59/12,0)</f>
        <v/>
      </c>
      <c r="D59" s="21">
        <f>IF(A59&lt;Assumptions!$B$36,0,MAX(0,MIN(Assumptions!$B$37,Assumptions!$B$35-E58)))</f>
        <v/>
      </c>
      <c r="E59" s="21">
        <f>E58+D59</f>
        <v/>
      </c>
      <c r="F59" s="21">
        <f>IF(A59-Assumptions!$B$41&lt;1,0,INDEX($E$6:$E$65,A59-Assumptions!$B$41))</f>
        <v/>
      </c>
      <c r="G59" s="21">
        <f>IF(A59&lt;Assumptions!$B$45,0,MAX(0,MIN(Assumptions!$B$46,Assumptions!$B$44-H58)))</f>
        <v/>
      </c>
      <c r="H59" s="21">
        <f>H58+G59</f>
        <v/>
      </c>
      <c r="I59" s="21">
        <f>IF(A59-Assumptions!$B$52&lt;1,0,INDEX($H$6:$H$65,A59-Assumptions!$B$52))</f>
        <v/>
      </c>
      <c r="J59" s="21">
        <f>E59+H59</f>
        <v/>
      </c>
      <c r="K59" s="21">
        <f>F59+I59</f>
        <v/>
      </c>
      <c r="L59" s="33">
        <f>F59*Assumptions!$B$39+I59*Assumptions!$B$50</f>
        <v/>
      </c>
      <c r="M59" s="33">
        <f>D59*Assumptions!$B$38</f>
        <v/>
      </c>
      <c r="N59" s="33">
        <f>G59*Assumptions!$B$49</f>
        <v/>
      </c>
      <c r="O59" s="33">
        <f>M59+N59</f>
        <v/>
      </c>
      <c r="P59" s="59">
        <f>(D59*Assumptions!$B$40+G59*Assumptions!$B$51)/30/Assumptions!$B$19</f>
        <v/>
      </c>
    </row>
    <row r="60">
      <c r="A60" s="21" t="n">
        <v>55</v>
      </c>
      <c r="B60" s="34">
        <f>EDATE(Assumptions!$B$12,A60-1)</f>
        <v/>
      </c>
      <c r="C60" s="21">
        <f>ROUNDUP(A60/12,0)</f>
        <v/>
      </c>
      <c r="D60" s="21">
        <f>IF(A60&lt;Assumptions!$B$36,0,MAX(0,MIN(Assumptions!$B$37,Assumptions!$B$35-E59)))</f>
        <v/>
      </c>
      <c r="E60" s="21">
        <f>E59+D60</f>
        <v/>
      </c>
      <c r="F60" s="21">
        <f>IF(A60-Assumptions!$B$41&lt;1,0,INDEX($E$6:$E$65,A60-Assumptions!$B$41))</f>
        <v/>
      </c>
      <c r="G60" s="21">
        <f>IF(A60&lt;Assumptions!$B$45,0,MAX(0,MIN(Assumptions!$B$46,Assumptions!$B$44-H59)))</f>
        <v/>
      </c>
      <c r="H60" s="21">
        <f>H59+G60</f>
        <v/>
      </c>
      <c r="I60" s="21">
        <f>IF(A60-Assumptions!$B$52&lt;1,0,INDEX($H$6:$H$65,A60-Assumptions!$B$52))</f>
        <v/>
      </c>
      <c r="J60" s="21">
        <f>E60+H60</f>
        <v/>
      </c>
      <c r="K60" s="21">
        <f>F60+I60</f>
        <v/>
      </c>
      <c r="L60" s="33">
        <f>F60*Assumptions!$B$39+I60*Assumptions!$B$50</f>
        <v/>
      </c>
      <c r="M60" s="33">
        <f>D60*Assumptions!$B$38</f>
        <v/>
      </c>
      <c r="N60" s="33">
        <f>G60*Assumptions!$B$49</f>
        <v/>
      </c>
      <c r="O60" s="33">
        <f>M60+N60</f>
        <v/>
      </c>
      <c r="P60" s="59">
        <f>(D60*Assumptions!$B$40+G60*Assumptions!$B$51)/30/Assumptions!$B$19</f>
        <v/>
      </c>
    </row>
    <row r="61">
      <c r="A61" s="21" t="n">
        <v>56</v>
      </c>
      <c r="B61" s="34">
        <f>EDATE(Assumptions!$B$12,A61-1)</f>
        <v/>
      </c>
      <c r="C61" s="21">
        <f>ROUNDUP(A61/12,0)</f>
        <v/>
      </c>
      <c r="D61" s="21">
        <f>IF(A61&lt;Assumptions!$B$36,0,MAX(0,MIN(Assumptions!$B$37,Assumptions!$B$35-E60)))</f>
        <v/>
      </c>
      <c r="E61" s="21">
        <f>E60+D61</f>
        <v/>
      </c>
      <c r="F61" s="21">
        <f>IF(A61-Assumptions!$B$41&lt;1,0,INDEX($E$6:$E$65,A61-Assumptions!$B$41))</f>
        <v/>
      </c>
      <c r="G61" s="21">
        <f>IF(A61&lt;Assumptions!$B$45,0,MAX(0,MIN(Assumptions!$B$46,Assumptions!$B$44-H60)))</f>
        <v/>
      </c>
      <c r="H61" s="21">
        <f>H60+G61</f>
        <v/>
      </c>
      <c r="I61" s="21">
        <f>IF(A61-Assumptions!$B$52&lt;1,0,INDEX($H$6:$H$65,A61-Assumptions!$B$52))</f>
        <v/>
      </c>
      <c r="J61" s="21">
        <f>E61+H61</f>
        <v/>
      </c>
      <c r="K61" s="21">
        <f>F61+I61</f>
        <v/>
      </c>
      <c r="L61" s="33">
        <f>F61*Assumptions!$B$39+I61*Assumptions!$B$50</f>
        <v/>
      </c>
      <c r="M61" s="33">
        <f>D61*Assumptions!$B$38</f>
        <v/>
      </c>
      <c r="N61" s="33">
        <f>G61*Assumptions!$B$49</f>
        <v/>
      </c>
      <c r="O61" s="33">
        <f>M61+N61</f>
        <v/>
      </c>
      <c r="P61" s="59">
        <f>(D61*Assumptions!$B$40+G61*Assumptions!$B$51)/30/Assumptions!$B$19</f>
        <v/>
      </c>
    </row>
    <row r="62">
      <c r="A62" s="21" t="n">
        <v>57</v>
      </c>
      <c r="B62" s="34">
        <f>EDATE(Assumptions!$B$12,A62-1)</f>
        <v/>
      </c>
      <c r="C62" s="21">
        <f>ROUNDUP(A62/12,0)</f>
        <v/>
      </c>
      <c r="D62" s="21">
        <f>IF(A62&lt;Assumptions!$B$36,0,MAX(0,MIN(Assumptions!$B$37,Assumptions!$B$35-E61)))</f>
        <v/>
      </c>
      <c r="E62" s="21">
        <f>E61+D62</f>
        <v/>
      </c>
      <c r="F62" s="21">
        <f>IF(A62-Assumptions!$B$41&lt;1,0,INDEX($E$6:$E$65,A62-Assumptions!$B$41))</f>
        <v/>
      </c>
      <c r="G62" s="21">
        <f>IF(A62&lt;Assumptions!$B$45,0,MAX(0,MIN(Assumptions!$B$46,Assumptions!$B$44-H61)))</f>
        <v/>
      </c>
      <c r="H62" s="21">
        <f>H61+G62</f>
        <v/>
      </c>
      <c r="I62" s="21">
        <f>IF(A62-Assumptions!$B$52&lt;1,0,INDEX($H$6:$H$65,A62-Assumptions!$B$52))</f>
        <v/>
      </c>
      <c r="J62" s="21">
        <f>E62+H62</f>
        <v/>
      </c>
      <c r="K62" s="21">
        <f>F62+I62</f>
        <v/>
      </c>
      <c r="L62" s="33">
        <f>F62*Assumptions!$B$39+I62*Assumptions!$B$50</f>
        <v/>
      </c>
      <c r="M62" s="33">
        <f>D62*Assumptions!$B$38</f>
        <v/>
      </c>
      <c r="N62" s="33">
        <f>G62*Assumptions!$B$49</f>
        <v/>
      </c>
      <c r="O62" s="33">
        <f>M62+N62</f>
        <v/>
      </c>
      <c r="P62" s="59">
        <f>(D62*Assumptions!$B$40+G62*Assumptions!$B$51)/30/Assumptions!$B$19</f>
        <v/>
      </c>
    </row>
    <row r="63">
      <c r="A63" s="21" t="n">
        <v>58</v>
      </c>
      <c r="B63" s="34">
        <f>EDATE(Assumptions!$B$12,A63-1)</f>
        <v/>
      </c>
      <c r="C63" s="21">
        <f>ROUNDUP(A63/12,0)</f>
        <v/>
      </c>
      <c r="D63" s="21">
        <f>IF(A63&lt;Assumptions!$B$36,0,MAX(0,MIN(Assumptions!$B$37,Assumptions!$B$35-E62)))</f>
        <v/>
      </c>
      <c r="E63" s="21">
        <f>E62+D63</f>
        <v/>
      </c>
      <c r="F63" s="21">
        <f>IF(A63-Assumptions!$B$41&lt;1,0,INDEX($E$6:$E$65,A63-Assumptions!$B$41))</f>
        <v/>
      </c>
      <c r="G63" s="21">
        <f>IF(A63&lt;Assumptions!$B$45,0,MAX(0,MIN(Assumptions!$B$46,Assumptions!$B$44-H62)))</f>
        <v/>
      </c>
      <c r="H63" s="21">
        <f>H62+G63</f>
        <v/>
      </c>
      <c r="I63" s="21">
        <f>IF(A63-Assumptions!$B$52&lt;1,0,INDEX($H$6:$H$65,A63-Assumptions!$B$52))</f>
        <v/>
      </c>
      <c r="J63" s="21">
        <f>E63+H63</f>
        <v/>
      </c>
      <c r="K63" s="21">
        <f>F63+I63</f>
        <v/>
      </c>
      <c r="L63" s="33">
        <f>F63*Assumptions!$B$39+I63*Assumptions!$B$50</f>
        <v/>
      </c>
      <c r="M63" s="33">
        <f>D63*Assumptions!$B$38</f>
        <v/>
      </c>
      <c r="N63" s="33">
        <f>G63*Assumptions!$B$49</f>
        <v/>
      </c>
      <c r="O63" s="33">
        <f>M63+N63</f>
        <v/>
      </c>
      <c r="P63" s="59">
        <f>(D63*Assumptions!$B$40+G63*Assumptions!$B$51)/30/Assumptions!$B$19</f>
        <v/>
      </c>
    </row>
    <row r="64">
      <c r="A64" s="21" t="n">
        <v>59</v>
      </c>
      <c r="B64" s="34">
        <f>EDATE(Assumptions!$B$12,A64-1)</f>
        <v/>
      </c>
      <c r="C64" s="21">
        <f>ROUNDUP(A64/12,0)</f>
        <v/>
      </c>
      <c r="D64" s="21">
        <f>IF(A64&lt;Assumptions!$B$36,0,MAX(0,MIN(Assumptions!$B$37,Assumptions!$B$35-E63)))</f>
        <v/>
      </c>
      <c r="E64" s="21">
        <f>E63+D64</f>
        <v/>
      </c>
      <c r="F64" s="21">
        <f>IF(A64-Assumptions!$B$41&lt;1,0,INDEX($E$6:$E$65,A64-Assumptions!$B$41))</f>
        <v/>
      </c>
      <c r="G64" s="21">
        <f>IF(A64&lt;Assumptions!$B$45,0,MAX(0,MIN(Assumptions!$B$46,Assumptions!$B$44-H63)))</f>
        <v/>
      </c>
      <c r="H64" s="21">
        <f>H63+G64</f>
        <v/>
      </c>
      <c r="I64" s="21">
        <f>IF(A64-Assumptions!$B$52&lt;1,0,INDEX($H$6:$H$65,A64-Assumptions!$B$52))</f>
        <v/>
      </c>
      <c r="J64" s="21">
        <f>E64+H64</f>
        <v/>
      </c>
      <c r="K64" s="21">
        <f>F64+I64</f>
        <v/>
      </c>
      <c r="L64" s="33">
        <f>F64*Assumptions!$B$39+I64*Assumptions!$B$50</f>
        <v/>
      </c>
      <c r="M64" s="33">
        <f>D64*Assumptions!$B$38</f>
        <v/>
      </c>
      <c r="N64" s="33">
        <f>G64*Assumptions!$B$49</f>
        <v/>
      </c>
      <c r="O64" s="33">
        <f>M64+N64</f>
        <v/>
      </c>
      <c r="P64" s="59">
        <f>(D64*Assumptions!$B$40+G64*Assumptions!$B$51)/30/Assumptions!$B$19</f>
        <v/>
      </c>
    </row>
    <row r="65">
      <c r="A65" s="21" t="n">
        <v>60</v>
      </c>
      <c r="B65" s="34">
        <f>EDATE(Assumptions!$B$12,A65-1)</f>
        <v/>
      </c>
      <c r="C65" s="21">
        <f>ROUNDUP(A65/12,0)</f>
        <v/>
      </c>
      <c r="D65" s="21">
        <f>IF(A65&lt;Assumptions!$B$36,0,MAX(0,MIN(Assumptions!$B$37,Assumptions!$B$35-E64)))</f>
        <v/>
      </c>
      <c r="E65" s="21">
        <f>E64+D65</f>
        <v/>
      </c>
      <c r="F65" s="21">
        <f>IF(A65-Assumptions!$B$41&lt;1,0,INDEX($E$6:$E$65,A65-Assumptions!$B$41))</f>
        <v/>
      </c>
      <c r="G65" s="21">
        <f>IF(A65&lt;Assumptions!$B$45,0,MAX(0,MIN(Assumptions!$B$46,Assumptions!$B$44-H64)))</f>
        <v/>
      </c>
      <c r="H65" s="21">
        <f>H64+G65</f>
        <v/>
      </c>
      <c r="I65" s="21">
        <f>IF(A65-Assumptions!$B$52&lt;1,0,INDEX($H$6:$H$65,A65-Assumptions!$B$52))</f>
        <v/>
      </c>
      <c r="J65" s="21">
        <f>E65+H65</f>
        <v/>
      </c>
      <c r="K65" s="21">
        <f>F65+I65</f>
        <v/>
      </c>
      <c r="L65" s="33">
        <f>F65*Assumptions!$B$39+I65*Assumptions!$B$50</f>
        <v/>
      </c>
      <c r="M65" s="33">
        <f>D65*Assumptions!$B$38</f>
        <v/>
      </c>
      <c r="N65" s="33">
        <f>G65*Assumptions!$B$49</f>
        <v/>
      </c>
      <c r="O65" s="33">
        <f>M65+N65</f>
        <v/>
      </c>
      <c r="P65" s="59">
        <f>(D65*Assumptions!$B$40+G65*Assumptions!$B$51)/30/Assumptions!$B$19</f>
        <v/>
      </c>
    </row>
    <row r="66">
      <c r="A66" s="36" t="inlineStr">
        <is>
          <t>Total</t>
        </is>
      </c>
      <c r="D66" s="37">
        <f>SUM(D6:D65)</f>
        <v/>
      </c>
      <c r="G66" s="37">
        <f>SUM(G6:G65)</f>
        <v/>
      </c>
      <c r="M66" s="39">
        <f>SUM(M6:M65)</f>
        <v/>
      </c>
      <c r="N66" s="39">
        <f>SUM(N6:N65)</f>
        <v/>
      </c>
      <c r="O66" s="39">
        <f>SUM(O6:O65)</f>
        <v/>
      </c>
    </row>
    <row r="68">
      <c r="A68" s="8" t="inlineStr">
        <is>
          <t>ANNUAL SUMMARY — FEEDS THE CASH FLOW MODEL</t>
        </is>
      </c>
      <c r="C68" s="28" t="inlineStr">
        <is>
          <t>Year 1</t>
        </is>
      </c>
      <c r="D68" s="28" t="inlineStr">
        <is>
          <t>Year 2</t>
        </is>
      </c>
      <c r="E68" s="28" t="inlineStr">
        <is>
          <t>Year 3</t>
        </is>
      </c>
      <c r="F68" s="28" t="inlineStr">
        <is>
          <t>Year 4</t>
        </is>
      </c>
      <c r="G68" s="28" t="inlineStr">
        <is>
          <t>Year 5</t>
        </is>
      </c>
    </row>
    <row r="69">
      <c r="A69" s="10" t="inlineStr">
        <is>
          <t>Track A Units Completed in Year</t>
        </is>
      </c>
      <c r="C69" s="21">
        <f>SUMIFS($D$6:$D$65,$C$6:$C$65,1)</f>
        <v/>
      </c>
      <c r="D69" s="21">
        <f>SUMIFS($D$6:$D$65,$C$6:$C$65,2)</f>
        <v/>
      </c>
      <c r="E69" s="21">
        <f>SUMIFS($D$6:$D$65,$C$6:$C$65,3)</f>
        <v/>
      </c>
      <c r="F69" s="21">
        <f>SUMIFS($D$6:$D$65,$C$6:$C$65,4)</f>
        <v/>
      </c>
      <c r="G69" s="21">
        <f>SUMIFS($D$6:$D$65,$C$6:$C$65,5)</f>
        <v/>
      </c>
    </row>
    <row r="70">
      <c r="A70" s="10" t="inlineStr">
        <is>
          <t>Track B Units Completed in Year</t>
        </is>
      </c>
      <c r="C70" s="21">
        <f>SUMIFS($G$6:$G$65,$C$6:$C$65,1)</f>
        <v/>
      </c>
      <c r="D70" s="21">
        <f>SUMIFS($G$6:$G$65,$C$6:$C$65,2)</f>
        <v/>
      </c>
      <c r="E70" s="21">
        <f>SUMIFS($G$6:$G$65,$C$6:$C$65,3)</f>
        <v/>
      </c>
      <c r="F70" s="21">
        <f>SUMIFS($G$6:$G$65,$C$6:$C$65,4)</f>
        <v/>
      </c>
      <c r="G70" s="21">
        <f>SUMIFS($G$6:$G$65,$C$6:$C$65,5)</f>
        <v/>
      </c>
    </row>
    <row r="71">
      <c r="A71" s="10" t="inlineStr">
        <is>
          <t>Cumulative Renovated at Year End</t>
        </is>
      </c>
      <c r="C71" s="21">
        <f>SUMIFS($D$6:$D$65,$C$6:$C$65,"&lt;="&amp;1)+SUMIFS($G$6:$G$65,$C$6:$C$65,"&lt;="&amp;1)</f>
        <v/>
      </c>
      <c r="D71" s="21">
        <f>SUMIFS($D$6:$D$65,$C$6:$C$65,"&lt;="&amp;2)+SUMIFS($G$6:$G$65,$C$6:$C$65,"&lt;="&amp;2)</f>
        <v/>
      </c>
      <c r="E71" s="21">
        <f>SUMIFS($D$6:$D$65,$C$6:$C$65,"&lt;="&amp;3)+SUMIFS($G$6:$G$65,$C$6:$C$65,"&lt;="&amp;3)</f>
        <v/>
      </c>
      <c r="F71" s="21">
        <f>SUMIFS($D$6:$D$65,$C$6:$C$65,"&lt;="&amp;4)+SUMIFS($G$6:$G$65,$C$6:$C$65,"&lt;="&amp;4)</f>
        <v/>
      </c>
      <c r="G71" s="21">
        <f>SUMIFS($D$6:$D$65,$C$6:$C$65,"&lt;="&amp;5)+SUMIFS($G$6:$G$65,$C$6:$C$65,"&lt;="&amp;5)</f>
        <v/>
      </c>
    </row>
    <row r="72">
      <c r="A72" s="10" t="inlineStr">
        <is>
          <t>Average Units Earning the Premium</t>
        </is>
      </c>
      <c r="C72" s="60">
        <f>AVERAGEIFS($K$6:$K$65,$C$6:$C$65,1)</f>
        <v/>
      </c>
      <c r="D72" s="60">
        <f>AVERAGEIFS($K$6:$K$65,$C$6:$C$65,2)</f>
        <v/>
      </c>
      <c r="E72" s="60">
        <f>AVERAGEIFS($K$6:$K$65,$C$6:$C$65,3)</f>
        <v/>
      </c>
      <c r="F72" s="60">
        <f>AVERAGEIFS($K$6:$K$65,$C$6:$C$65,4)</f>
        <v/>
      </c>
      <c r="G72" s="60">
        <f>AVERAGEIFS($K$6:$K$65,$C$6:$C$65,5)</f>
        <v/>
      </c>
    </row>
    <row r="73">
      <c r="A73" s="10" t="inlineStr">
        <is>
          <t>Average Premium in Force ($/month)</t>
        </is>
      </c>
      <c r="C73" s="14">
        <f>AVERAGEIFS($L$6:$L$65,$C$6:$C$65,1)</f>
        <v/>
      </c>
      <c r="D73" s="14">
        <f>AVERAGEIFS($L$6:$L$65,$C$6:$C$65,2)</f>
        <v/>
      </c>
      <c r="E73" s="14">
        <f>AVERAGEIFS($L$6:$L$65,$C$6:$C$65,3)</f>
        <v/>
      </c>
      <c r="F73" s="14">
        <f>AVERAGEIFS($L$6:$L$65,$C$6:$C$65,4)</f>
        <v/>
      </c>
      <c r="G73" s="14">
        <f>AVERAGEIFS($L$6:$L$65,$C$6:$C$65,5)</f>
        <v/>
      </c>
    </row>
    <row r="74">
      <c r="A74" s="10" t="inlineStr">
        <is>
          <t>Renovation Capital Spend</t>
        </is>
      </c>
      <c r="C74" s="14">
        <f>SUMIFS($O$6:$O$65,$C$6:$C$65,1)</f>
        <v/>
      </c>
      <c r="D74" s="14">
        <f>SUMIFS($O$6:$O$65,$C$6:$C$65,2)</f>
        <v/>
      </c>
      <c r="E74" s="14">
        <f>SUMIFS($O$6:$O$65,$C$6:$C$65,3)</f>
        <v/>
      </c>
      <c r="F74" s="14">
        <f>SUMIFS($O$6:$O$65,$C$6:$C$65,4)</f>
        <v/>
      </c>
      <c r="G74" s="14">
        <f>SUMIFS($O$6:$O$65,$C$6:$C$65,5)</f>
        <v/>
      </c>
    </row>
    <row r="75">
      <c r="A75" s="10" t="inlineStr">
        <is>
          <t>Renovation Downtime Vacancy (% of GPR)</t>
        </is>
      </c>
      <c r="C75" s="27">
        <f>AVERAGEIFS($P$6:$P$65,$C$6:$C$65,1)</f>
        <v/>
      </c>
      <c r="D75" s="27">
        <f>AVERAGEIFS($P$6:$P$65,$C$6:$C$65,2)</f>
        <v/>
      </c>
      <c r="E75" s="27">
        <f>AVERAGEIFS($P$6:$P$65,$C$6:$C$65,3)</f>
        <v/>
      </c>
      <c r="F75" s="27">
        <f>AVERAGEIFS($P$6:$P$65,$C$6:$C$65,4)</f>
        <v/>
      </c>
      <c r="G75" s="27">
        <f>AVERAGEIFS($P$6:$P$65,$C$6:$C$65,5)</f>
        <v/>
      </c>
    </row>
    <row r="77">
      <c r="A77" s="6" t="inlineStr">
        <is>
          <t>Programme Completion (month all 118 units are renovated)</t>
        </is>
      </c>
      <c r="C77" s="61">
        <f>MATCH(Assumptions!$B$19,$J$6:$J$65,0)</f>
        <v/>
      </c>
    </row>
    <row r="79" ht="56" customHeight="1">
      <c r="A79" s="12" t="inlineStr">
        <is>
          <t>Track A (53 units with existing laundry) is renovated in place at 10 a month from month 2 — no permit, no vacancy loss — but the premium only lands at the next renewal, modelled as a 6-month lag. Track B (65 units gaining laundry) needs a state Construction Design Release and a local DBNS permit and must be vacant, so it runs at natural turnover of 5 a month from month 4 with 14 days of incremental downtime, and captures the premium immediately. Splitting the programme this way completes all 118 units far sooner than a single-track plan without forcing a single resident out.</t>
        </is>
      </c>
    </row>
  </sheetData>
  <mergeCells count="1">
    <mergeCell ref="A79:P79"/>
  </mergeCells>
  <printOptions horizontalCentered="0"/>
  <pageMargins left="0.4" right="0.4"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H7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CHATEAU IN THE WOODS  |  4020 Monaco Drive, Indianapolis, IN 46220  |  118 Units</t>
        </is>
      </c>
    </row>
    <row r="2">
      <c r="A2" s="2" t="inlineStr">
        <is>
          <t>Five-Year Operating Cash Flow — August 2026 through July 2031</t>
        </is>
      </c>
    </row>
    <row r="3">
      <c r="A3" s="3" t="inlineStr">
        <is>
          <t>Blue = hardcoded input / lever   ·   Black = formula   ·   Green = link to another sheet   ·   Yellow fill = key assumption</t>
        </is>
      </c>
    </row>
    <row r="4"/>
    <row r="5">
      <c r="A5" s="6" t="inlineStr"/>
      <c r="B5" s="8" t="inlineStr">
        <is>
          <t>Basis</t>
        </is>
      </c>
      <c r="C5" s="28" t="inlineStr">
        <is>
          <t>Year 1</t>
        </is>
      </c>
      <c r="D5" s="28" t="inlineStr">
        <is>
          <t>Year 2</t>
        </is>
      </c>
      <c r="E5" s="28" t="inlineStr">
        <is>
          <t>Year 3</t>
        </is>
      </c>
      <c r="F5" s="28" t="inlineStr">
        <is>
          <t>Year 4</t>
        </is>
      </c>
      <c r="G5" s="28" t="inlineStr">
        <is>
          <t>Year 5</t>
        </is>
      </c>
      <c r="H5" s="62" t="inlineStr">
        <is>
          <t>Year 6
(exit)</t>
        </is>
      </c>
    </row>
    <row r="6">
      <c r="A6" s="3" t="inlineStr">
        <is>
          <t>Period Ending</t>
        </is>
      </c>
      <c r="C6" s="63">
        <f>EDATE(Assumptions!$B$12,12-1)</f>
        <v/>
      </c>
      <c r="D6" s="63">
        <f>EDATE(Assumptions!$B$12,24-1)</f>
        <v/>
      </c>
      <c r="E6" s="63">
        <f>EDATE(Assumptions!$B$12,36-1)</f>
        <v/>
      </c>
      <c r="F6" s="63">
        <f>EDATE(Assumptions!$B$12,48-1)</f>
        <v/>
      </c>
      <c r="G6" s="63">
        <f>EDATE(Assumptions!$B$12,60-1)</f>
        <v/>
      </c>
      <c r="H6" s="63">
        <f>EDATE(Assumptions!$B$12,72-1)</f>
        <v/>
      </c>
    </row>
    <row r="7">
      <c r="A7" s="4" t="inlineStr">
        <is>
          <t>MARKET RENT INDEXATION</t>
        </is>
      </c>
      <c r="B7" s="5" t="n"/>
      <c r="C7" s="5" t="n"/>
      <c r="D7" s="5" t="n"/>
      <c r="E7" s="5" t="n"/>
      <c r="F7" s="5" t="n"/>
      <c r="G7" s="5" t="n"/>
      <c r="H7" s="5" t="n"/>
    </row>
    <row r="8">
      <c r="A8" s="10" t="inlineStr">
        <is>
          <t>Market Rent Growth</t>
        </is>
      </c>
      <c r="B8" s="12" t="inlineStr">
        <is>
          <t>Assumptions</t>
        </is>
      </c>
      <c r="C8" s="64">
        <f>Assumptions!C$64</f>
        <v/>
      </c>
      <c r="D8" s="64">
        <f>Assumptions!D$64</f>
        <v/>
      </c>
      <c r="E8" s="64">
        <f>Assumptions!E$64</f>
        <v/>
      </c>
      <c r="F8" s="64">
        <f>Assumptions!F$64</f>
        <v/>
      </c>
      <c r="G8" s="64">
        <f>Assumptions!G$64</f>
        <v/>
      </c>
      <c r="H8" s="64">
        <f>Assumptions!G$64</f>
        <v/>
      </c>
    </row>
    <row r="9">
      <c r="A9" s="10" t="inlineStr">
        <is>
          <t>Rent Index — End of Year</t>
        </is>
      </c>
      <c r="B9" s="12" t="inlineStr">
        <is>
          <t>Prior year index × (1 + growth)</t>
        </is>
      </c>
      <c r="C9" s="65">
        <f>1*(1+C8)</f>
        <v/>
      </c>
      <c r="D9" s="65">
        <f>C9*(1+D8)</f>
        <v/>
      </c>
      <c r="E9" s="65">
        <f>D9*(1+E8)</f>
        <v/>
      </c>
      <c r="F9" s="65">
        <f>E9*(1+F8)</f>
        <v/>
      </c>
      <c r="G9" s="65">
        <f>F9*(1+G8)</f>
        <v/>
      </c>
      <c r="H9" s="65">
        <f>G9*(1+H8)</f>
        <v/>
      </c>
    </row>
    <row r="10">
      <c r="A10" s="10" t="inlineStr">
        <is>
          <t>Rent Factor — Mid-Year Convention</t>
        </is>
      </c>
      <c r="B10" s="12" t="inlineStr">
        <is>
          <t>SQRT(prior year-end index × this year-end index)</t>
        </is>
      </c>
      <c r="C10" s="65">
        <f>SQRT(1*C9)</f>
        <v/>
      </c>
      <c r="D10" s="65">
        <f>SQRT(C9*D9)</f>
        <v/>
      </c>
      <c r="E10" s="65">
        <f>SQRT(D9*E9)</f>
        <v/>
      </c>
      <c r="F10" s="65">
        <f>SQRT(E9*F9)</f>
        <v/>
      </c>
      <c r="G10" s="65">
        <f>SQRT(F9*G9)</f>
        <v/>
      </c>
      <c r="H10" s="65">
        <f>SQRT(G9*H9)</f>
        <v/>
      </c>
    </row>
    <row r="11"/>
    <row r="12">
      <c r="A12" s="4" t="inlineStr">
        <is>
          <t>UNIT POSITION</t>
        </is>
      </c>
      <c r="B12" s="5" t="n"/>
      <c r="C12" s="5" t="n"/>
      <c r="D12" s="5" t="n"/>
      <c r="E12" s="5" t="n"/>
      <c r="F12" s="5" t="n"/>
      <c r="G12" s="5" t="n"/>
      <c r="H12" s="5" t="n"/>
    </row>
    <row r="13">
      <c r="A13" s="10" t="inlineStr">
        <is>
          <t>Track A Units Completed (in-place)</t>
        </is>
      </c>
      <c r="B13" s="12" t="inlineStr">
        <is>
          <t>Reno Schedule</t>
        </is>
      </c>
      <c r="C13" s="66">
        <f>'Reno Schedule'!C$69</f>
        <v/>
      </c>
      <c r="D13" s="66">
        <f>'Reno Schedule'!D$69</f>
        <v/>
      </c>
      <c r="E13" s="66">
        <f>'Reno Schedule'!E$69</f>
        <v/>
      </c>
      <c r="F13" s="66">
        <f>'Reno Schedule'!F$69</f>
        <v/>
      </c>
      <c r="G13" s="66">
        <f>'Reno Schedule'!G$69</f>
        <v/>
      </c>
      <c r="H13" s="66">
        <f>0</f>
        <v/>
      </c>
    </row>
    <row r="14">
      <c r="A14" s="10" t="inlineStr">
        <is>
          <t>Track B Units Completed (vacant + laundry)</t>
        </is>
      </c>
      <c r="B14" s="12" t="inlineStr">
        <is>
          <t>Reno Schedule</t>
        </is>
      </c>
      <c r="C14" s="66">
        <f>'Reno Schedule'!C$70</f>
        <v/>
      </c>
      <c r="D14" s="66">
        <f>'Reno Schedule'!D$70</f>
        <v/>
      </c>
      <c r="E14" s="66">
        <f>'Reno Schedule'!E$70</f>
        <v/>
      </c>
      <c r="F14" s="66">
        <f>'Reno Schedule'!F$70</f>
        <v/>
      </c>
      <c r="G14" s="66">
        <f>'Reno Schedule'!G$70</f>
        <v/>
      </c>
      <c r="H14" s="66">
        <f>0</f>
        <v/>
      </c>
    </row>
    <row r="15">
      <c r="A15" s="10" t="inlineStr">
        <is>
          <t>Cumulative Renovated (% of portfolio)</t>
        </is>
      </c>
      <c r="B15" s="12" t="inlineStr">
        <is>
          <t>Reno Schedule</t>
        </is>
      </c>
      <c r="C15" s="41">
        <f>'Reno Schedule'!C$71/Assumptions!$B$19</f>
        <v/>
      </c>
      <c r="D15" s="41">
        <f>'Reno Schedule'!D$71/Assumptions!$B$19</f>
        <v/>
      </c>
      <c r="E15" s="41">
        <f>'Reno Schedule'!E$71/Assumptions!$B$19</f>
        <v/>
      </c>
      <c r="F15" s="41">
        <f>'Reno Schedule'!F$71/Assumptions!$B$19</f>
        <v/>
      </c>
      <c r="G15" s="41">
        <f>'Reno Schedule'!G$71/Assumptions!$B$19</f>
        <v/>
      </c>
      <c r="H15" s="41">
        <f>1</f>
        <v/>
      </c>
    </row>
    <row r="16">
      <c r="A16" s="10" t="inlineStr">
        <is>
          <t>Average Units Earning the Premium</t>
        </is>
      </c>
      <c r="B16" s="12" t="inlineStr">
        <is>
          <t>Reno Schedule</t>
        </is>
      </c>
      <c r="C16" s="67">
        <f>'Reno Schedule'!C$72</f>
        <v/>
      </c>
      <c r="D16" s="67">
        <f>'Reno Schedule'!D$72</f>
        <v/>
      </c>
      <c r="E16" s="67">
        <f>'Reno Schedule'!E$72</f>
        <v/>
      </c>
      <c r="F16" s="67">
        <f>'Reno Schedule'!F$72</f>
        <v/>
      </c>
      <c r="G16" s="67">
        <f>'Reno Schedule'!G$72</f>
        <v/>
      </c>
      <c r="H16" s="67">
        <f>Assumptions!$B$19</f>
        <v/>
      </c>
    </row>
    <row r="17">
      <c r="A17" s="10" t="inlineStr">
        <is>
          <t>Average Premium in Force ($/month)</t>
        </is>
      </c>
      <c r="B17" s="12" t="inlineStr">
        <is>
          <t>Reno Schedule</t>
        </is>
      </c>
      <c r="C17" s="52">
        <f>'Reno Schedule'!C$73</f>
        <v/>
      </c>
      <c r="D17" s="52">
        <f>'Reno Schedule'!D$73</f>
        <v/>
      </c>
      <c r="E17" s="52">
        <f>'Reno Schedule'!E$73</f>
        <v/>
      </c>
      <c r="F17" s="52">
        <f>'Reno Schedule'!F$73</f>
        <v/>
      </c>
      <c r="G17" s="52">
        <f>'Reno Schedule'!G$73</f>
        <v/>
      </c>
      <c r="H17" s="52">
        <f>Assumptions!$B$19*Assumptions!$B$57</f>
        <v/>
      </c>
    </row>
    <row r="18"/>
    <row r="19">
      <c r="A19" s="4" t="inlineStr">
        <is>
          <t>REVENUE</t>
        </is>
      </c>
      <c r="B19" s="5" t="n"/>
      <c r="C19" s="5" t="n"/>
      <c r="D19" s="5" t="n"/>
      <c r="E19" s="5" t="n"/>
      <c r="F19" s="5" t="n"/>
      <c r="G19" s="5" t="n"/>
      <c r="H19" s="5" t="n"/>
    </row>
    <row r="20">
      <c r="A20" s="10" t="inlineStr">
        <is>
          <t>Gross Potential Rent — In-Place Market Rents</t>
        </is>
      </c>
      <c r="B20" s="12" t="inlineStr">
        <is>
          <t>All 118 units at the 07/01/2026 market rent, indexed for growth</t>
        </is>
      </c>
      <c r="C20" s="33">
        <f>Assumptions!$B$19*'Unit Mix'!$D$18*12*C10</f>
        <v/>
      </c>
      <c r="D20" s="33">
        <f>Assumptions!$B$19*'Unit Mix'!$D$18*12*D10</f>
        <v/>
      </c>
      <c r="E20" s="33">
        <f>Assumptions!$B$19*'Unit Mix'!$D$18*12*E10</f>
        <v/>
      </c>
      <c r="F20" s="33">
        <f>Assumptions!$B$19*'Unit Mix'!$D$18*12*F10</f>
        <v/>
      </c>
      <c r="G20" s="33">
        <f>Assumptions!$B$19*'Unit Mix'!$D$18*12*G10</f>
        <v/>
      </c>
      <c r="H20" s="33">
        <f>Assumptions!$B$19*'Unit Mix'!$D$18*12*H10</f>
        <v/>
      </c>
    </row>
    <row r="21">
      <c r="A21" s="10" t="inlineStr">
        <is>
          <t>Gross Potential Rent — Renovation Premium</t>
        </is>
      </c>
      <c r="B21" s="12" t="inlineStr">
        <is>
          <t>Premium in force × 12 × rent factor (Track A lags 6 months, Track B 1 month)</t>
        </is>
      </c>
      <c r="C21" s="33">
        <f>C17*12*C10</f>
        <v/>
      </c>
      <c r="D21" s="33">
        <f>D17*12*D10</f>
        <v/>
      </c>
      <c r="E21" s="33">
        <f>E17*12*E10</f>
        <v/>
      </c>
      <c r="F21" s="33">
        <f>F17*12*F10</f>
        <v/>
      </c>
      <c r="G21" s="33">
        <f>G17*12*G10</f>
        <v/>
      </c>
      <c r="H21" s="33">
        <f>H17*12*H10</f>
        <v/>
      </c>
    </row>
    <row r="22">
      <c r="A22" s="36" t="inlineStr">
        <is>
          <t>Gross Potential Rent</t>
        </is>
      </c>
      <c r="B22" s="68" t="inlineStr"/>
      <c r="C22" s="39">
        <f>C20+C21</f>
        <v/>
      </c>
      <c r="D22" s="39">
        <f>D20+D21</f>
        <v/>
      </c>
      <c r="E22" s="39">
        <f>E20+E21</f>
        <v/>
      </c>
      <c r="F22" s="39">
        <f>F20+F21</f>
        <v/>
      </c>
      <c r="G22" s="39">
        <f>G20+G21</f>
        <v/>
      </c>
      <c r="H22" s="39">
        <f>H20+H21</f>
        <v/>
      </c>
    </row>
    <row r="23">
      <c r="A23" s="10" t="inlineStr">
        <is>
          <t xml:space="preserve">   Average Monthly Rent per Unit</t>
        </is>
      </c>
      <c r="B23" s="12" t="inlineStr">
        <is>
          <t>GPR / units / 12</t>
        </is>
      </c>
      <c r="C23" s="69">
        <f>C22/Assumptions!$B$19/12</f>
        <v/>
      </c>
      <c r="D23" s="69">
        <f>D22/Assumptions!$B$19/12</f>
        <v/>
      </c>
      <c r="E23" s="69">
        <f>E22/Assumptions!$B$19/12</f>
        <v/>
      </c>
      <c r="F23" s="69">
        <f>F22/Assumptions!$B$19/12</f>
        <v/>
      </c>
      <c r="G23" s="69">
        <f>G22/Assumptions!$B$19/12</f>
        <v/>
      </c>
      <c r="H23" s="69">
        <f>H22/Assumptions!$B$19/12</f>
        <v/>
      </c>
    </row>
    <row r="24">
      <c r="A24" s="10" t="inlineStr">
        <is>
          <t>Less: Loss to Lease</t>
        </is>
      </c>
      <c r="B24" s="12" t="inlineStr">
        <is>
          <t>% of GPR (Assumptions)</t>
        </is>
      </c>
      <c r="C24" s="33">
        <f>-C22*Assumptions!C$65</f>
        <v/>
      </c>
      <c r="D24" s="33">
        <f>-D22*Assumptions!D$65</f>
        <v/>
      </c>
      <c r="E24" s="33">
        <f>-E22*Assumptions!E$65</f>
        <v/>
      </c>
      <c r="F24" s="33">
        <f>-F22*Assumptions!F$65</f>
        <v/>
      </c>
      <c r="G24" s="33">
        <f>-G22*Assumptions!G$65</f>
        <v/>
      </c>
      <c r="H24" s="33">
        <f>-H22*Assumptions!G$65</f>
        <v/>
      </c>
    </row>
    <row r="25">
      <c r="A25" s="10" t="inlineStr">
        <is>
          <t>Less: Operating Physical Vacancy</t>
        </is>
      </c>
      <c r="B25" s="12" t="inlineStr">
        <is>
          <t>% of GPR (Assumptions)</t>
        </is>
      </c>
      <c r="C25" s="33">
        <f>-C22*Assumptions!C$66</f>
        <v/>
      </c>
      <c r="D25" s="33">
        <f>-D22*Assumptions!D$66</f>
        <v/>
      </c>
      <c r="E25" s="33">
        <f>-E22*Assumptions!E$66</f>
        <v/>
      </c>
      <c r="F25" s="33">
        <f>-F22*Assumptions!F$66</f>
        <v/>
      </c>
      <c r="G25" s="33">
        <f>-G22*Assumptions!G$66</f>
        <v/>
      </c>
      <c r="H25" s="33">
        <f>-H22*Assumptions!G$66</f>
        <v/>
      </c>
    </row>
    <row r="26">
      <c r="A26" s="10" t="inlineStr">
        <is>
          <t>Less: Renovation Downtime Vacancy</t>
        </is>
      </c>
      <c r="B26" s="12" t="inlineStr">
        <is>
          <t>Reno Schedule × GPR</t>
        </is>
      </c>
      <c r="C26" s="33">
        <f>-C22*'Reno Schedule'!C$75</f>
        <v/>
      </c>
      <c r="D26" s="33">
        <f>-D22*'Reno Schedule'!D$75</f>
        <v/>
      </c>
      <c r="E26" s="33">
        <f>-E22*'Reno Schedule'!E$75</f>
        <v/>
      </c>
      <c r="F26" s="33">
        <f>-F22*'Reno Schedule'!F$75</f>
        <v/>
      </c>
      <c r="G26" s="33">
        <f>-G22*'Reno Schedule'!G$75</f>
        <v/>
      </c>
      <c r="H26" s="33">
        <f>0</f>
        <v/>
      </c>
    </row>
    <row r="27">
      <c r="A27" s="10" t="inlineStr">
        <is>
          <t>Less: Concessions</t>
        </is>
      </c>
      <c r="B27" s="12" t="inlineStr">
        <is>
          <t>% of GPR (Assumptions)</t>
        </is>
      </c>
      <c r="C27" s="33">
        <f>-C22*Assumptions!C$67</f>
        <v/>
      </c>
      <c r="D27" s="33">
        <f>-D22*Assumptions!D$67</f>
        <v/>
      </c>
      <c r="E27" s="33">
        <f>-E22*Assumptions!E$67</f>
        <v/>
      </c>
      <c r="F27" s="33">
        <f>-F22*Assumptions!F$67</f>
        <v/>
      </c>
      <c r="G27" s="33">
        <f>-G22*Assumptions!G$67</f>
        <v/>
      </c>
      <c r="H27" s="33">
        <f>-H22*Assumptions!G$67</f>
        <v/>
      </c>
    </row>
    <row r="28">
      <c r="A28" s="10" t="inlineStr">
        <is>
          <t>Less: Bad Debt</t>
        </is>
      </c>
      <c r="B28" s="12" t="inlineStr">
        <is>
          <t>% of GPR (Assumptions)</t>
        </is>
      </c>
      <c r="C28" s="33">
        <f>-C22*Assumptions!C$68</f>
        <v/>
      </c>
      <c r="D28" s="33">
        <f>-D22*Assumptions!D$68</f>
        <v/>
      </c>
      <c r="E28" s="33">
        <f>-E22*Assumptions!E$68</f>
        <v/>
      </c>
      <c r="F28" s="33">
        <f>-F22*Assumptions!F$68</f>
        <v/>
      </c>
      <c r="G28" s="33">
        <f>-G22*Assumptions!G$68</f>
        <v/>
      </c>
      <c r="H28" s="33">
        <f>-H22*Assumptions!G$68</f>
        <v/>
      </c>
    </row>
    <row r="29">
      <c r="A29" s="36" t="inlineStr">
        <is>
          <t>Net Rental Income</t>
        </is>
      </c>
      <c r="B29" s="68" t="inlineStr"/>
      <c r="C29" s="39">
        <f>SUM(C22:C28)-C23</f>
        <v/>
      </c>
      <c r="D29" s="39">
        <f>SUM(D22:D28)-D23</f>
        <v/>
      </c>
      <c r="E29" s="39">
        <f>SUM(E22:E28)-E23</f>
        <v/>
      </c>
      <c r="F29" s="39">
        <f>SUM(F22:F28)-F23</f>
        <v/>
      </c>
      <c r="G29" s="39">
        <f>SUM(G22:G28)-G23</f>
        <v/>
      </c>
      <c r="H29" s="39">
        <f>SUM(H22:H28)-H23</f>
        <v/>
      </c>
    </row>
    <row r="30">
      <c r="A30" s="10" t="inlineStr">
        <is>
          <t xml:space="preserve">   Economic Occupancy</t>
        </is>
      </c>
      <c r="B30" s="12" t="inlineStr">
        <is>
          <t>NRI / GPR</t>
        </is>
      </c>
      <c r="C30" s="70">
        <f>C29/C22</f>
        <v/>
      </c>
      <c r="D30" s="70">
        <f>D29/D22</f>
        <v/>
      </c>
      <c r="E30" s="70">
        <f>E29/E22</f>
        <v/>
      </c>
      <c r="F30" s="70">
        <f>F29/F22</f>
        <v/>
      </c>
      <c r="G30" s="70">
        <f>G29/G22</f>
        <v/>
      </c>
      <c r="H30" s="70">
        <f>H29/H22</f>
        <v/>
      </c>
    </row>
    <row r="31">
      <c r="A31" s="10" t="inlineStr">
        <is>
          <t xml:space="preserve">   Physical Occupancy</t>
        </is>
      </c>
      <c r="B31" s="12" t="inlineStr">
        <is>
          <t>1 - operating - downtime vacancy</t>
        </is>
      </c>
      <c r="C31" s="70">
        <f>1+(C25+C26)/C22</f>
        <v/>
      </c>
      <c r="D31" s="70">
        <f>1+(D25+D26)/D22</f>
        <v/>
      </c>
      <c r="E31" s="70">
        <f>1+(E25+E26)/E22</f>
        <v/>
      </c>
      <c r="F31" s="70">
        <f>1+(F25+F26)/F22</f>
        <v/>
      </c>
      <c r="G31" s="70">
        <f>1+(G25+G26)/G22</f>
        <v/>
      </c>
      <c r="H31" s="70">
        <f>1+(H25+H26)/H22</f>
        <v/>
      </c>
    </row>
    <row r="32">
      <c r="A32" s="10" t="inlineStr">
        <is>
          <t>Other Income</t>
        </is>
      </c>
      <c r="B32" s="12" t="inlineStr">
        <is>
          <t>Other Income tab</t>
        </is>
      </c>
      <c r="C32" s="52">
        <f>'Other Income'!C$25</f>
        <v/>
      </c>
      <c r="D32" s="52">
        <f>'Other Income'!D$25</f>
        <v/>
      </c>
      <c r="E32" s="52">
        <f>'Other Income'!E$25</f>
        <v/>
      </c>
      <c r="F32" s="52">
        <f>'Other Income'!F$25</f>
        <v/>
      </c>
      <c r="G32" s="52">
        <f>'Other Income'!G$25</f>
        <v/>
      </c>
      <c r="H32" s="52">
        <f>'Other Income'!G$25*(1+Assumptions!G$69)</f>
        <v/>
      </c>
    </row>
    <row r="33">
      <c r="A33" s="71" t="inlineStr">
        <is>
          <t>Effective Gross Revenue</t>
        </is>
      </c>
      <c r="B33" s="72" t="inlineStr"/>
      <c r="C33" s="73">
        <f>C29+C32</f>
        <v/>
      </c>
      <c r="D33" s="73">
        <f>D29+D32</f>
        <v/>
      </c>
      <c r="E33" s="73">
        <f>E29+E32</f>
        <v/>
      </c>
      <c r="F33" s="73">
        <f>F29+F32</f>
        <v/>
      </c>
      <c r="G33" s="73">
        <f>G29+G32</f>
        <v/>
      </c>
      <c r="H33" s="73">
        <f>H29+H32</f>
        <v/>
      </c>
    </row>
    <row r="34"/>
    <row r="35">
      <c r="A35" s="4" t="inlineStr">
        <is>
          <t>OPERATING EXPENSES</t>
        </is>
      </c>
      <c r="B35" s="5" t="n"/>
      <c r="C35" s="5" t="n"/>
      <c r="D35" s="5" t="n"/>
      <c r="E35" s="5" t="n"/>
      <c r="F35" s="5" t="n"/>
      <c r="G35" s="5" t="n"/>
      <c r="H35" s="5" t="n"/>
    </row>
    <row r="36">
      <c r="A36" s="10" t="inlineStr">
        <is>
          <t>Payroll</t>
        </is>
      </c>
      <c r="B36" s="12" t="inlineStr">
        <is>
          <t>Year 1 input, grown</t>
        </is>
      </c>
      <c r="C36" s="33">
        <f>Assumptions!$B$73</f>
        <v/>
      </c>
      <c r="D36" s="33">
        <f>C36*(1+Assumptions!$C$73)</f>
        <v/>
      </c>
      <c r="E36" s="33">
        <f>D36*(1+Assumptions!$C$73)</f>
        <v/>
      </c>
      <c r="F36" s="33">
        <f>E36*(1+Assumptions!$C$73)</f>
        <v/>
      </c>
      <c r="G36" s="33">
        <f>F36*(1+Assumptions!$C$73)</f>
        <v/>
      </c>
      <c r="H36" s="33">
        <f>G36*(1+Assumptions!$C$73)</f>
        <v/>
      </c>
    </row>
    <row r="37">
      <c r="A37" s="10" t="inlineStr">
        <is>
          <t>Property Management Fee</t>
        </is>
      </c>
      <c r="B37" s="12" t="inlineStr">
        <is>
          <t>% of effective gross revenue</t>
        </is>
      </c>
      <c r="C37" s="33">
        <f>C33*Assumptions!$B$74</f>
        <v/>
      </c>
      <c r="D37" s="33">
        <f>D33*Assumptions!$B$74</f>
        <v/>
      </c>
      <c r="E37" s="33">
        <f>E33*Assumptions!$B$74</f>
        <v/>
      </c>
      <c r="F37" s="33">
        <f>F33*Assumptions!$B$74</f>
        <v/>
      </c>
      <c r="G37" s="33">
        <f>G33*Assumptions!$B$74</f>
        <v/>
      </c>
      <c r="H37" s="33">
        <f>H33*Assumptions!$B$74</f>
        <v/>
      </c>
    </row>
    <row r="38">
      <c r="A38" s="10" t="inlineStr">
        <is>
          <t>Marketing &amp; Advertising</t>
        </is>
      </c>
      <c r="B38" s="12" t="inlineStr">
        <is>
          <t>Year 1 input, grown</t>
        </is>
      </c>
      <c r="C38" s="33">
        <f>Assumptions!$B$75</f>
        <v/>
      </c>
      <c r="D38" s="33">
        <f>C38*(1+Assumptions!$C$75)</f>
        <v/>
      </c>
      <c r="E38" s="33">
        <f>D38*(1+Assumptions!$C$75)</f>
        <v/>
      </c>
      <c r="F38" s="33">
        <f>E38*(1+Assumptions!$C$75)</f>
        <v/>
      </c>
      <c r="G38" s="33">
        <f>F38*(1+Assumptions!$C$75)</f>
        <v/>
      </c>
      <c r="H38" s="33">
        <f>G38*(1+Assumptions!$C$75)</f>
        <v/>
      </c>
    </row>
    <row r="39">
      <c r="A39" s="10" t="inlineStr">
        <is>
          <t>General &amp; Administrative</t>
        </is>
      </c>
      <c r="B39" s="12" t="inlineStr">
        <is>
          <t>Year 1 input, grown</t>
        </is>
      </c>
      <c r="C39" s="33">
        <f>Assumptions!$B$76</f>
        <v/>
      </c>
      <c r="D39" s="33">
        <f>C39*(1+Assumptions!$C$76)</f>
        <v/>
      </c>
      <c r="E39" s="33">
        <f>D39*(1+Assumptions!$C$76)</f>
        <v/>
      </c>
      <c r="F39" s="33">
        <f>E39*(1+Assumptions!$C$76)</f>
        <v/>
      </c>
      <c r="G39" s="33">
        <f>F39*(1+Assumptions!$C$76)</f>
        <v/>
      </c>
      <c r="H39" s="33">
        <f>G39*(1+Assumptions!$C$76)</f>
        <v/>
      </c>
    </row>
    <row r="40">
      <c r="A40" s="10" t="inlineStr">
        <is>
          <t>Bulk Internet</t>
        </is>
      </c>
      <c r="B40" s="12" t="inlineStr">
        <is>
          <t>$27.95/unit/month stabilised, grown</t>
        </is>
      </c>
      <c r="C40" s="33">
        <f>Assumptions!$B$77</f>
        <v/>
      </c>
      <c r="D40" s="33">
        <f>C40*(1+Assumptions!$C$77)</f>
        <v/>
      </c>
      <c r="E40" s="33">
        <f>D40*(1+Assumptions!$C$77)</f>
        <v/>
      </c>
      <c r="F40" s="33">
        <f>E40*(1+Assumptions!$C$77)</f>
        <v/>
      </c>
      <c r="G40" s="33">
        <f>F40*(1+Assumptions!$C$77)</f>
        <v/>
      </c>
      <c r="H40" s="33">
        <f>G40*(1+Assumptions!$C$77)</f>
        <v/>
      </c>
    </row>
    <row r="41">
      <c r="A41" s="10" t="inlineStr">
        <is>
          <t>Electricity</t>
        </is>
      </c>
      <c r="B41" s="12" t="inlineStr">
        <is>
          <t>Year 1 input, grown</t>
        </is>
      </c>
      <c r="C41" s="33">
        <f>Assumptions!$B$78</f>
        <v/>
      </c>
      <c r="D41" s="33">
        <f>C41*(1+Assumptions!$C$78)</f>
        <v/>
      </c>
      <c r="E41" s="33">
        <f>D41*(1+Assumptions!$C$78)</f>
        <v/>
      </c>
      <c r="F41" s="33">
        <f>E41*(1+Assumptions!$C$78)</f>
        <v/>
      </c>
      <c r="G41" s="33">
        <f>F41*(1+Assumptions!$C$78)</f>
        <v/>
      </c>
      <c r="H41" s="33">
        <f>G41*(1+Assumptions!$C$78)</f>
        <v/>
      </c>
    </row>
    <row r="42">
      <c r="A42" s="10" t="inlineStr">
        <is>
          <t>Gas</t>
        </is>
      </c>
      <c r="B42" s="12" t="inlineStr">
        <is>
          <t>Year 1 input, grown</t>
        </is>
      </c>
      <c r="C42" s="33">
        <f>Assumptions!$B$79</f>
        <v/>
      </c>
      <c r="D42" s="33">
        <f>C42*(1+Assumptions!$C$79)</f>
        <v/>
      </c>
      <c r="E42" s="33">
        <f>D42*(1+Assumptions!$C$79)</f>
        <v/>
      </c>
      <c r="F42" s="33">
        <f>E42*(1+Assumptions!$C$79)</f>
        <v/>
      </c>
      <c r="G42" s="33">
        <f>F42*(1+Assumptions!$C$79)</f>
        <v/>
      </c>
      <c r="H42" s="33">
        <f>G42*(1+Assumptions!$C$79)</f>
        <v/>
      </c>
    </row>
    <row r="43">
      <c r="A43" s="10" t="inlineStr">
        <is>
          <t>Water &amp; Sewer</t>
        </is>
      </c>
      <c r="B43" s="12" t="inlineStr">
        <is>
          <t>Year 1 input, grown; 85% recovered in Other Income</t>
        </is>
      </c>
      <c r="C43" s="33">
        <f>Assumptions!$B$80</f>
        <v/>
      </c>
      <c r="D43" s="33">
        <f>C43*(1+Assumptions!$C$80)</f>
        <v/>
      </c>
      <c r="E43" s="33">
        <f>D43*(1+Assumptions!$C$80)</f>
        <v/>
      </c>
      <c r="F43" s="33">
        <f>E43*(1+Assumptions!$C$80)</f>
        <v/>
      </c>
      <c r="G43" s="33">
        <f>F43*(1+Assumptions!$C$80)</f>
        <v/>
      </c>
      <c r="H43" s="33">
        <f>G43*(1+Assumptions!$C$80)</f>
        <v/>
      </c>
    </row>
    <row r="44">
      <c r="A44" s="10" t="inlineStr">
        <is>
          <t>Repairs &amp; Maintenance</t>
        </is>
      </c>
      <c r="B44" s="12" t="inlineStr">
        <is>
          <t>Year 1 input, grown</t>
        </is>
      </c>
      <c r="C44" s="33">
        <f>Assumptions!$B$81</f>
        <v/>
      </c>
      <c r="D44" s="33">
        <f>C44*(1+Assumptions!$C$81)</f>
        <v/>
      </c>
      <c r="E44" s="33">
        <f>D44*(1+Assumptions!$C$81)</f>
        <v/>
      </c>
      <c r="F44" s="33">
        <f>E44*(1+Assumptions!$C$81)</f>
        <v/>
      </c>
      <c r="G44" s="33">
        <f>F44*(1+Assumptions!$C$81)</f>
        <v/>
      </c>
      <c r="H44" s="33">
        <f>G44*(1+Assumptions!$C$81)</f>
        <v/>
      </c>
    </row>
    <row r="45">
      <c r="A45" s="10" t="inlineStr">
        <is>
          <t>Insurance</t>
        </is>
      </c>
      <c r="B45" s="12" t="inlineStr">
        <is>
          <t>Year 1 input, grown</t>
        </is>
      </c>
      <c r="C45" s="33">
        <f>Assumptions!$B$82</f>
        <v/>
      </c>
      <c r="D45" s="33">
        <f>C45*(1+Assumptions!$C$82)</f>
        <v/>
      </c>
      <c r="E45" s="33">
        <f>D45*(1+Assumptions!$C$82)</f>
        <v/>
      </c>
      <c r="F45" s="33">
        <f>E45*(1+Assumptions!$C$82)</f>
        <v/>
      </c>
      <c r="G45" s="33">
        <f>F45*(1+Assumptions!$C$82)</f>
        <v/>
      </c>
      <c r="H45" s="33">
        <f>G45*(1+Assumptions!$C$82)</f>
        <v/>
      </c>
    </row>
    <row r="46">
      <c r="A46" s="10" t="inlineStr">
        <is>
          <t>Real Estate Taxes</t>
        </is>
      </c>
      <c r="B46" s="12" t="inlineStr">
        <is>
          <t>Explicit annual schedule (reassessment on sale)</t>
        </is>
      </c>
      <c r="C46" s="52">
        <f>Assumptions!C$84</f>
        <v/>
      </c>
      <c r="D46" s="52">
        <f>Assumptions!D$84</f>
        <v/>
      </c>
      <c r="E46" s="52">
        <f>Assumptions!E$84</f>
        <v/>
      </c>
      <c r="F46" s="52">
        <f>Assumptions!F$84</f>
        <v/>
      </c>
      <c r="G46" s="52">
        <f>Assumptions!G$84</f>
        <v/>
      </c>
      <c r="H46" s="52">
        <f>Assumptions!G$84*1.05</f>
        <v/>
      </c>
    </row>
    <row r="47">
      <c r="A47" s="36" t="inlineStr">
        <is>
          <t>Total Operating Expenses</t>
        </is>
      </c>
      <c r="B47" s="68" t="inlineStr"/>
      <c r="C47" s="39">
        <f>SUM(C36:C46)</f>
        <v/>
      </c>
      <c r="D47" s="39">
        <f>SUM(D36:D46)</f>
        <v/>
      </c>
      <c r="E47" s="39">
        <f>SUM(E36:E46)</f>
        <v/>
      </c>
      <c r="F47" s="39">
        <f>SUM(F36:F46)</f>
        <v/>
      </c>
      <c r="G47" s="39">
        <f>SUM(G36:G46)</f>
        <v/>
      </c>
      <c r="H47" s="39">
        <f>SUM(H36:H46)</f>
        <v/>
      </c>
    </row>
    <row r="48">
      <c r="A48" s="10" t="inlineStr">
        <is>
          <t xml:space="preserve">   Per Unit</t>
        </is>
      </c>
      <c r="B48" s="12" t="inlineStr"/>
      <c r="C48" s="69">
        <f>C47/Assumptions!$B$19</f>
        <v/>
      </c>
      <c r="D48" s="69">
        <f>D47/Assumptions!$B$19</f>
        <v/>
      </c>
      <c r="E48" s="69">
        <f>E47/Assumptions!$B$19</f>
        <v/>
      </c>
      <c r="F48" s="69">
        <f>F47/Assumptions!$B$19</f>
        <v/>
      </c>
      <c r="G48" s="69">
        <f>G47/Assumptions!$B$19</f>
        <v/>
      </c>
      <c r="H48" s="69">
        <f>H47/Assumptions!$B$19</f>
        <v/>
      </c>
    </row>
    <row r="49">
      <c r="A49" s="10" t="inlineStr">
        <is>
          <t xml:space="preserve">   Operating Expense Ratio</t>
        </is>
      </c>
      <c r="B49" s="12" t="inlineStr">
        <is>
          <t>Total opex / EGR</t>
        </is>
      </c>
      <c r="C49" s="70">
        <f>C47/C33</f>
        <v/>
      </c>
      <c r="D49" s="70">
        <f>D47/D33</f>
        <v/>
      </c>
      <c r="E49" s="70">
        <f>E47/E33</f>
        <v/>
      </c>
      <c r="F49" s="70">
        <f>F47/F33</f>
        <v/>
      </c>
      <c r="G49" s="70">
        <f>G47/G33</f>
        <v/>
      </c>
      <c r="H49" s="70">
        <f>H47/H33</f>
        <v/>
      </c>
    </row>
    <row r="50"/>
    <row r="51">
      <c r="A51" s="74" t="inlineStr">
        <is>
          <t>NET OPERATING INCOME</t>
        </is>
      </c>
      <c r="B51" s="72" t="inlineStr"/>
      <c r="C51" s="75">
        <f>C33-C47</f>
        <v/>
      </c>
      <c r="D51" s="75">
        <f>D33-D47</f>
        <v/>
      </c>
      <c r="E51" s="75">
        <f>E33-E47</f>
        <v/>
      </c>
      <c r="F51" s="75">
        <f>F33-F47</f>
        <v/>
      </c>
      <c r="G51" s="75">
        <f>G33-G47</f>
        <v/>
      </c>
      <c r="H51" s="75">
        <f>H33-H47</f>
        <v/>
      </c>
    </row>
    <row r="52">
      <c r="A52" s="10" t="inlineStr">
        <is>
          <t xml:space="preserve">   NOI per Unit</t>
        </is>
      </c>
      <c r="B52" s="12" t="inlineStr"/>
      <c r="C52" s="69">
        <f>C51/Assumptions!$B$19</f>
        <v/>
      </c>
      <c r="D52" s="69">
        <f>D51/Assumptions!$B$19</f>
        <v/>
      </c>
      <c r="E52" s="69">
        <f>E51/Assumptions!$B$19</f>
        <v/>
      </c>
      <c r="F52" s="69">
        <f>F51/Assumptions!$B$19</f>
        <v/>
      </c>
      <c r="G52" s="69">
        <f>G51/Assumptions!$B$19</f>
        <v/>
      </c>
      <c r="H52" s="69">
        <f>H51/Assumptions!$B$19</f>
        <v/>
      </c>
    </row>
    <row r="53">
      <c r="A53" s="10" t="inlineStr">
        <is>
          <t xml:space="preserve">   NOI Margin</t>
        </is>
      </c>
      <c r="B53" s="12" t="inlineStr"/>
      <c r="C53" s="70">
        <f>C51/C33</f>
        <v/>
      </c>
      <c r="D53" s="70">
        <f>D51/D33</f>
        <v/>
      </c>
      <c r="E53" s="70">
        <f>E51/E33</f>
        <v/>
      </c>
      <c r="F53" s="70">
        <f>F51/F33</f>
        <v/>
      </c>
      <c r="G53" s="70">
        <f>G51/G33</f>
        <v/>
      </c>
    </row>
    <row r="54">
      <c r="A54" s="10" t="inlineStr">
        <is>
          <t xml:space="preserve">   NOI Growth</t>
        </is>
      </c>
      <c r="B54" s="12" t="inlineStr"/>
      <c r="C54" s="70">
        <f>"n/a"</f>
        <v/>
      </c>
      <c r="D54" s="70">
        <f>D51/C51-1</f>
        <v/>
      </c>
      <c r="E54" s="70">
        <f>E51/D51-1</f>
        <v/>
      </c>
      <c r="F54" s="70">
        <f>F51/E51-1</f>
        <v/>
      </c>
      <c r="G54" s="70">
        <f>G51/F51-1</f>
        <v/>
      </c>
    </row>
    <row r="55">
      <c r="A55" s="10" t="inlineStr">
        <is>
          <t xml:space="preserve">   Yield on Purchase Price</t>
        </is>
      </c>
      <c r="B55" s="12" t="inlineStr">
        <is>
          <t>NOI / purchase price</t>
        </is>
      </c>
      <c r="C55" s="70">
        <f>C51/Assumptions!$B$6</f>
        <v/>
      </c>
      <c r="D55" s="70">
        <f>D51/Assumptions!$B$6</f>
        <v/>
      </c>
      <c r="E55" s="70">
        <f>E51/Assumptions!$B$6</f>
        <v/>
      </c>
      <c r="F55" s="70">
        <f>F51/Assumptions!$B$6</f>
        <v/>
      </c>
      <c r="G55" s="70">
        <f>G51/Assumptions!$B$6</f>
        <v/>
      </c>
    </row>
    <row r="56">
      <c r="A56" s="10" t="inlineStr">
        <is>
          <t xml:space="preserve">   Yield on Total Cost</t>
        </is>
      </c>
      <c r="B56" s="12" t="inlineStr">
        <is>
          <t>NOI / (price + all capital)</t>
        </is>
      </c>
      <c r="C56" s="70">
        <f>C51/Returns!$C$22</f>
        <v/>
      </c>
      <c r="D56" s="70">
        <f>D51/Returns!$C$22</f>
        <v/>
      </c>
      <c r="E56" s="70">
        <f>E51/Returns!$C$22</f>
        <v/>
      </c>
      <c r="F56" s="70">
        <f>F51/Returns!$C$22</f>
        <v/>
      </c>
      <c r="G56" s="70">
        <f>G51/Returns!$C$22</f>
        <v/>
      </c>
    </row>
    <row r="57"/>
    <row r="58">
      <c r="A58" s="4" t="inlineStr">
        <is>
          <t>BELOW NOI</t>
        </is>
      </c>
      <c r="B58" s="5" t="n"/>
      <c r="C58" s="5" t="n"/>
      <c r="D58" s="5" t="n"/>
      <c r="E58" s="5" t="n"/>
      <c r="F58" s="5" t="n"/>
      <c r="G58" s="5" t="n"/>
      <c r="H58" s="5" t="n"/>
    </row>
    <row r="59">
      <c r="A59" s="10" t="inlineStr">
        <is>
          <t>Less: Replacement Reserves</t>
        </is>
      </c>
      <c r="B59" s="12" t="inlineStr">
        <is>
          <t>$/unit/year, grown</t>
        </is>
      </c>
      <c r="C59" s="33">
        <f>-Assumptions!$B$85*Assumptions!$B$19</f>
        <v/>
      </c>
      <c r="D59" s="33">
        <f>C59*(1+Assumptions!D$69)</f>
        <v/>
      </c>
      <c r="E59" s="33">
        <f>D59*(1+Assumptions!E$69)</f>
        <v/>
      </c>
      <c r="F59" s="33">
        <f>E59*(1+Assumptions!F$69)</f>
        <v/>
      </c>
      <c r="G59" s="33">
        <f>F59*(1+Assumptions!G$69)</f>
        <v/>
      </c>
    </row>
    <row r="60">
      <c r="A60" s="36" t="inlineStr">
        <is>
          <t>Net Cash Flow before Debt Service</t>
        </is>
      </c>
      <c r="B60" s="68" t="inlineStr"/>
      <c r="C60" s="39">
        <f>C51+C59</f>
        <v/>
      </c>
      <c r="D60" s="39">
        <f>D51+D59</f>
        <v/>
      </c>
      <c r="E60" s="39">
        <f>E51+E59</f>
        <v/>
      </c>
      <c r="F60" s="39">
        <f>F51+F59</f>
        <v/>
      </c>
      <c r="G60" s="39">
        <f>G51+G59</f>
        <v/>
      </c>
    </row>
    <row r="61">
      <c r="A61" s="10" t="inlineStr">
        <is>
          <t>Less: Interest Expense</t>
        </is>
      </c>
      <c r="B61" s="12" t="inlineStr">
        <is>
          <t>Loan balance × rate (interest-only)</t>
        </is>
      </c>
      <c r="C61" s="33">
        <f>-Returns!$C$27*Assumptions!$B$91</f>
        <v/>
      </c>
      <c r="D61" s="33">
        <f>-Returns!$C$27*Assumptions!$B$91</f>
        <v/>
      </c>
      <c r="E61" s="33">
        <f>-Returns!$C$27*Assumptions!$B$91</f>
        <v/>
      </c>
      <c r="F61" s="33">
        <f>-Returns!$C$27*Assumptions!$B$91</f>
        <v/>
      </c>
      <c r="G61" s="33">
        <f>-Returns!$C$27*Assumptions!$B$91</f>
        <v/>
      </c>
    </row>
    <row r="62">
      <c r="A62" s="71" t="inlineStr">
        <is>
          <t>Cash Flow to Equity (operations)</t>
        </is>
      </c>
      <c r="B62" s="72" t="inlineStr"/>
      <c r="C62" s="73">
        <f>C60+C61</f>
        <v/>
      </c>
      <c r="D62" s="73">
        <f>D60+D61</f>
        <v/>
      </c>
      <c r="E62" s="73">
        <f>E60+E61</f>
        <v/>
      </c>
      <c r="F62" s="73">
        <f>F60+F61</f>
        <v/>
      </c>
      <c r="G62" s="73">
        <f>G60+G61</f>
        <v/>
      </c>
    </row>
    <row r="63">
      <c r="A63" s="10" t="inlineStr">
        <is>
          <t xml:space="preserve">   Debt Service Coverage Ratio</t>
        </is>
      </c>
      <c r="B63" s="12" t="inlineStr">
        <is>
          <t>NOI / interest</t>
        </is>
      </c>
      <c r="C63" s="76">
        <f>C51/-C61</f>
        <v/>
      </c>
      <c r="D63" s="76">
        <f>D51/-D61</f>
        <v/>
      </c>
      <c r="E63" s="76">
        <f>E51/-E61</f>
        <v/>
      </c>
      <c r="F63" s="76">
        <f>F51/-F61</f>
        <v/>
      </c>
      <c r="G63" s="76">
        <f>G51/-G61</f>
        <v/>
      </c>
    </row>
    <row r="64">
      <c r="A64" s="10" t="inlineStr">
        <is>
          <t xml:space="preserve">   Debt Yield</t>
        </is>
      </c>
      <c r="B64" s="12" t="inlineStr">
        <is>
          <t>NOI / loan balance</t>
        </is>
      </c>
      <c r="C64" s="70">
        <f>C51/Returns!$C$27</f>
        <v/>
      </c>
      <c r="D64" s="70">
        <f>D51/Returns!$C$27</f>
        <v/>
      </c>
      <c r="E64" s="70">
        <f>E51/Returns!$C$27</f>
        <v/>
      </c>
      <c r="F64" s="70">
        <f>F51/Returns!$C$27</f>
        <v/>
      </c>
      <c r="G64" s="70">
        <f>G51/Returns!$C$27</f>
        <v/>
      </c>
    </row>
    <row r="65">
      <c r="A65" s="10" t="inlineStr">
        <is>
          <t xml:space="preserve">   Cash-on-Cash Return</t>
        </is>
      </c>
      <c r="B65" s="12" t="inlineStr">
        <is>
          <t>CF to equity / sponsor equity</t>
        </is>
      </c>
      <c r="C65" s="70">
        <f>C62/Returns!$C$17</f>
        <v/>
      </c>
      <c r="D65" s="70">
        <f>D62/Returns!$C$17</f>
        <v/>
      </c>
      <c r="E65" s="70">
        <f>E62/Returns!$C$17</f>
        <v/>
      </c>
      <c r="F65" s="70">
        <f>F62/Returns!$C$17</f>
        <v/>
      </c>
      <c r="G65" s="70">
        <f>G62/Returns!$C$17</f>
        <v/>
      </c>
    </row>
    <row r="66"/>
    <row r="67">
      <c r="A67" s="4" t="inlineStr">
        <is>
          <t>MEMO — CAPITAL SPEND (funded at closing per Sources &amp; Uses)</t>
        </is>
      </c>
      <c r="B67" s="5" t="n"/>
      <c r="C67" s="5" t="n"/>
      <c r="D67" s="5" t="n"/>
      <c r="E67" s="5" t="n"/>
      <c r="F67" s="5" t="n"/>
      <c r="G67" s="5" t="n"/>
      <c r="H67" s="5" t="n"/>
    </row>
    <row r="68">
      <c r="A68" s="10" t="inlineStr">
        <is>
          <t>Renovation Capital</t>
        </is>
      </c>
      <c r="B68" s="12" t="inlineStr">
        <is>
          <t>Reno Schedule</t>
        </is>
      </c>
      <c r="C68" s="52">
        <f>'Reno Schedule'!C$74</f>
        <v/>
      </c>
      <c r="D68" s="52">
        <f>'Reno Schedule'!D$74</f>
        <v/>
      </c>
      <c r="E68" s="52">
        <f>'Reno Schedule'!E$74</f>
        <v/>
      </c>
      <c r="F68" s="52">
        <f>'Reno Schedule'!F$74</f>
        <v/>
      </c>
      <c r="G68" s="52">
        <f>'Reno Schedule'!G$74</f>
        <v/>
      </c>
    </row>
    <row r="69">
      <c r="A69" s="10" t="inlineStr">
        <is>
          <t>Non-Unit / Deferred Maintenance Capital</t>
        </is>
      </c>
      <c r="B69" s="12" t="inlineStr">
        <is>
          <t>Capex Budget</t>
        </is>
      </c>
      <c r="C69" s="52">
        <f>'Capex Budget'!D14</f>
        <v/>
      </c>
      <c r="D69" s="52">
        <f>'Capex Budget'!E14</f>
        <v/>
      </c>
      <c r="E69" s="52">
        <f>'Capex Budget'!F14</f>
        <v/>
      </c>
      <c r="F69" s="52">
        <f>'Capex Budget'!G14</f>
        <v/>
      </c>
      <c r="G69" s="52">
        <f>'Capex Budget'!H14</f>
        <v/>
      </c>
    </row>
    <row r="70">
      <c r="A70" s="10" t="inlineStr">
        <is>
          <t>Contingency</t>
        </is>
      </c>
      <c r="B70" s="12" t="inlineStr">
        <is>
          <t>% of capital spend</t>
        </is>
      </c>
      <c r="C70" s="33">
        <f>(C68+C69)*Assumptions!$B$60</f>
        <v/>
      </c>
      <c r="D70" s="33">
        <f>(D68+D69)*Assumptions!$B$60</f>
        <v/>
      </c>
      <c r="E70" s="33">
        <f>(E68+E69)*Assumptions!$B$60</f>
        <v/>
      </c>
      <c r="F70" s="33">
        <f>(F68+F69)*Assumptions!$B$60</f>
        <v/>
      </c>
      <c r="G70" s="33">
        <f>(G68+G69)*Assumptions!$B$60</f>
        <v/>
      </c>
    </row>
    <row r="71">
      <c r="A71" s="36" t="inlineStr">
        <is>
          <t>Total Capital Deployed</t>
        </is>
      </c>
      <c r="B71" s="68" t="inlineStr"/>
      <c r="C71" s="39">
        <f>SUM(C68:C70)</f>
        <v/>
      </c>
      <c r="D71" s="39">
        <f>SUM(D68:D70)</f>
        <v/>
      </c>
      <c r="E71" s="39">
        <f>SUM(E68:E70)</f>
        <v/>
      </c>
      <c r="F71" s="39">
        <f>SUM(F68:F70)</f>
        <v/>
      </c>
      <c r="G71" s="39">
        <f>SUM(G68:G70)</f>
        <v/>
      </c>
    </row>
    <row r="72"/>
    <row r="73" ht="34" customHeight="1">
      <c r="A73" s="12" t="inlineStr">
        <is>
          <t>Capital is deployed over the schedule shown above but funded in full at closing in Sources &amp; Uses, so it is not deducted again from annual cash flow. That convention is conservative: it puts 100% of the equity out on day one and gives the model no benefit from the real timing of draws.</t>
        </is>
      </c>
    </row>
  </sheetData>
  <mergeCells count="6">
    <mergeCell ref="A12:H12"/>
    <mergeCell ref="A67:H67"/>
    <mergeCell ref="A35:H35"/>
    <mergeCell ref="A7:H7"/>
    <mergeCell ref="A19:H19"/>
    <mergeCell ref="A58:H58"/>
  </mergeCells>
  <printOptions horizontalCentered="0"/>
  <pageMargins left="0.4" right="0.4"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11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4" customWidth="1" min="1" max="1"/>
    <col width="13" customWidth="1" min="2" max="2"/>
    <col width="15" customWidth="1" min="3" max="3"/>
    <col width="14" customWidth="1" min="4" max="4"/>
    <col width="14" customWidth="1" min="5" max="5"/>
    <col width="14" customWidth="1" min="6" max="6"/>
    <col width="14" customWidth="1" min="7" max="7"/>
    <col width="14" customWidth="1" min="8" max="8"/>
    <col width="14" customWidth="1" min="9" max="9"/>
    <col width="56" customWidth="1" min="10" max="10"/>
  </cols>
  <sheetData>
    <row r="1">
      <c r="A1" s="1" t="inlineStr">
        <is>
          <t>CHATEAU IN THE WOODS  |  4020 Monaco Drive, Indianapolis, IN 46220  |  118 Units</t>
        </is>
      </c>
    </row>
    <row r="2">
      <c r="A2" s="2" t="inlineStr">
        <is>
          <t>Sources &amp; Uses, Debt, Exit Valuation and Returns</t>
        </is>
      </c>
    </row>
    <row r="3">
      <c r="A3" s="3" t="inlineStr">
        <is>
          <t>Blue = hardcoded input / lever   ·   Black = formula   ·   Green = link to another sheet   ·   Yellow fill = key assumption</t>
        </is>
      </c>
    </row>
    <row r="5">
      <c r="A5" s="4" t="inlineStr">
        <is>
          <t>SOURCES &amp; USES</t>
        </is>
      </c>
      <c r="B5" s="5" t="n"/>
      <c r="C5" s="5" t="n"/>
      <c r="D5" s="5" t="n"/>
      <c r="E5" s="5" t="n"/>
      <c r="F5" s="5" t="n"/>
      <c r="G5" s="5" t="n"/>
      <c r="H5" s="5" t="n"/>
      <c r="I5" s="5" t="n"/>
      <c r="J5" s="5" t="n"/>
    </row>
    <row r="6">
      <c r="A6" s="8" t="inlineStr">
        <is>
          <t>USES</t>
        </is>
      </c>
      <c r="C6" s="28" t="inlineStr">
        <is>
          <t>Amount</t>
        </is>
      </c>
      <c r="D6" s="28" t="inlineStr">
        <is>
          <t>Per Unit</t>
        </is>
      </c>
      <c r="E6" s="28" t="inlineStr">
        <is>
          <t>% of Total</t>
        </is>
      </c>
      <c r="J6" s="8" t="inlineStr">
        <is>
          <t>Note</t>
        </is>
      </c>
    </row>
    <row r="7">
      <c r="A7" s="10" t="inlineStr">
        <is>
          <t>Purchase Price</t>
        </is>
      </c>
      <c r="C7" s="33">
        <f>Assumptions!$B$6</f>
        <v/>
      </c>
      <c r="D7" s="33">
        <f>C7/Assumptions!$B$19</f>
        <v/>
      </c>
      <c r="E7" s="41">
        <f>C7/$C$13</f>
        <v/>
      </c>
      <c r="J7" s="12" t="inlineStr">
        <is>
          <t>Implied by the OM's 6.9% Year-1 cap rate on CBRE's forecast NOI.</t>
        </is>
      </c>
    </row>
    <row r="8">
      <c r="A8" s="10" t="inlineStr">
        <is>
          <t>Acquisition Costs</t>
        </is>
      </c>
      <c r="C8" s="33">
        <f>Assumptions!$B$6*Assumptions!$B$11</f>
        <v/>
      </c>
      <c r="D8" s="33">
        <f>C8/Assumptions!$B$19</f>
        <v/>
      </c>
      <c r="E8" s="41">
        <f>C8/$C$13</f>
        <v/>
      </c>
      <c r="J8" s="12" t="inlineStr">
        <is>
          <t>1.5% of price.</t>
        </is>
      </c>
    </row>
    <row r="9">
      <c r="A9" s="10" t="inlineStr">
        <is>
          <t>Renovation Capital (118 units)</t>
        </is>
      </c>
      <c r="C9" s="33">
        <f>'Unit Mix'!$D$21</f>
        <v/>
      </c>
      <c r="D9" s="33">
        <f>C9/Assumptions!$B$19</f>
        <v/>
      </c>
      <c r="E9" s="41">
        <f>C9/$C$13</f>
        <v/>
      </c>
      <c r="J9" s="12" t="inlineStr">
        <is>
          <t>$13,000/unit interior plus $5,000/unit for the 65 units gaining laundry.</t>
        </is>
      </c>
    </row>
    <row r="10">
      <c r="A10" s="10" t="inlineStr">
        <is>
          <t>Non-Unit / Deferred Maintenance Capital</t>
        </is>
      </c>
      <c r="C10" s="33">
        <f>'Capex Budget'!B14</f>
        <v/>
      </c>
      <c r="D10" s="33">
        <f>C10/Assumptions!$B$19</f>
        <v/>
      </c>
      <c r="E10" s="41">
        <f>C10/$C$13</f>
        <v/>
      </c>
      <c r="J10" s="12" t="inlineStr">
        <is>
          <t>Roofs, asphalt, sump pumps, glass, entries, amenities.</t>
        </is>
      </c>
    </row>
    <row r="11">
      <c r="A11" s="10" t="inlineStr">
        <is>
          <t>Capital Contingency</t>
        </is>
      </c>
      <c r="C11" s="33">
        <f>('Unit Mix'!$D$21+'Capex Budget'!B14)*Assumptions!$B$60</f>
        <v/>
      </c>
      <c r="D11" s="33">
        <f>C11/Assumptions!$B$19</f>
        <v/>
      </c>
      <c r="E11" s="41">
        <f>C11/$C$13</f>
        <v/>
      </c>
      <c r="J11" s="12" t="inlineStr">
        <is>
          <t>8% of all capital.</t>
        </is>
      </c>
    </row>
    <row r="12">
      <c r="A12" s="10" t="inlineStr">
        <is>
          <t>Financing Costs</t>
        </is>
      </c>
      <c r="C12" s="33">
        <f>C27*Assumptions!$B$92+Assumptions!$B$93</f>
        <v/>
      </c>
      <c r="D12" s="33">
        <f>C12/Assumptions!$B$19</f>
        <v/>
      </c>
      <c r="E12" s="41">
        <f>C12/$C$13</f>
        <v/>
      </c>
      <c r="J12" s="12" t="inlineStr">
        <is>
          <t>1% origination plus lender legal, appraisal, engineering and escrow set-up.</t>
        </is>
      </c>
    </row>
    <row r="13">
      <c r="A13" s="36" t="inlineStr">
        <is>
          <t>Total Uses</t>
        </is>
      </c>
      <c r="C13" s="39">
        <f>SUM(C7:C12)</f>
        <v/>
      </c>
      <c r="D13" s="39">
        <f>C13/Assumptions!$B$19</f>
        <v/>
      </c>
      <c r="E13" s="54">
        <f>SUM(E7:E12)</f>
        <v/>
      </c>
    </row>
    <row r="15">
      <c r="A15" s="8" t="inlineStr">
        <is>
          <t>SOURCES</t>
        </is>
      </c>
      <c r="C15" s="28" t="inlineStr">
        <is>
          <t>Amount</t>
        </is>
      </c>
      <c r="D15" s="28" t="inlineStr">
        <is>
          <t>Per Unit</t>
        </is>
      </c>
      <c r="E15" s="28" t="inlineStr">
        <is>
          <t>% of Total</t>
        </is>
      </c>
    </row>
    <row r="16">
      <c r="A16" s="10" t="inlineStr">
        <is>
          <t>Senior / Value-Add Loan</t>
        </is>
      </c>
      <c r="C16" s="46">
        <f>C27</f>
        <v/>
      </c>
      <c r="D16" s="33">
        <f>C16/Assumptions!$B$19</f>
        <v/>
      </c>
      <c r="E16" s="41">
        <f>C16/$C$18</f>
        <v/>
      </c>
    </row>
    <row r="17">
      <c r="A17" s="10" t="inlineStr">
        <is>
          <t>Sponsor Equity</t>
        </is>
      </c>
      <c r="C17" s="46">
        <f>C13-C16</f>
        <v/>
      </c>
      <c r="D17" s="33">
        <f>C17/Assumptions!$B$19</f>
        <v/>
      </c>
      <c r="E17" s="41">
        <f>C17/$C$18</f>
        <v/>
      </c>
    </row>
    <row r="18">
      <c r="A18" s="36" t="inlineStr">
        <is>
          <t>Total Sources</t>
        </is>
      </c>
      <c r="C18" s="39">
        <f>SUM(C16:C17)</f>
        <v/>
      </c>
      <c r="D18" s="39">
        <f>C18/Assumptions!$B$19</f>
        <v/>
      </c>
      <c r="E18" s="54">
        <f>SUM(E16:E17)</f>
        <v/>
      </c>
    </row>
    <row r="19">
      <c r="A19" s="3" t="inlineStr">
        <is>
          <t xml:space="preserve">   Check: sources = uses</t>
        </is>
      </c>
      <c r="C19" s="33">
        <f>C18-C13</f>
        <v/>
      </c>
    </row>
    <row r="21">
      <c r="A21" s="4" t="inlineStr">
        <is>
          <t>TOTAL CAPITALISATION &amp; DEBT TERMS</t>
        </is>
      </c>
      <c r="B21" s="5" t="n"/>
      <c r="C21" s="5" t="n"/>
      <c r="D21" s="5" t="n"/>
      <c r="E21" s="5" t="n"/>
      <c r="F21" s="5" t="n"/>
      <c r="G21" s="5" t="n"/>
      <c r="H21" s="5" t="n"/>
      <c r="I21" s="5" t="n"/>
      <c r="J21" s="5" t="n"/>
    </row>
    <row r="22">
      <c r="A22" s="10" t="inlineStr">
        <is>
          <t>Total Capitalised Cost (price + all capital)</t>
        </is>
      </c>
      <c r="C22" s="33">
        <f>Assumptions!$B$6+'Unit Mix'!$D$21+'Capex Budget'!B14+C11</f>
        <v/>
      </c>
      <c r="J22" s="12" t="inlineStr">
        <is>
          <t>Basis for loan-to-cost sizing and the yield-on-cost metric.</t>
        </is>
      </c>
    </row>
    <row r="23">
      <c r="A23" s="10" t="inlineStr">
        <is>
          <t xml:space="preserve">   Total Cost per Unit</t>
        </is>
      </c>
      <c r="C23" s="33">
        <f>C22/Assumptions!$B$19</f>
        <v/>
      </c>
    </row>
    <row r="24">
      <c r="A24" s="10" t="inlineStr">
        <is>
          <t>Loan Sizing Test 1 — Maximum Loan to Cost</t>
        </is>
      </c>
      <c r="C24" s="33">
        <f>C22*Assumptions!$B$88</f>
        <v/>
      </c>
      <c r="J24" s="12" t="inlineStr">
        <is>
          <t>Maximum loan-to-cost applied to total capitalised cost.</t>
        </is>
      </c>
    </row>
    <row r="25">
      <c r="A25" s="10" t="inlineStr">
        <is>
          <t>Loan Sizing Test 2 — Minimum Debt Yield</t>
        </is>
      </c>
      <c r="C25" s="33">
        <f>'Annual Model'!C51/Assumptions!$B$89</f>
        <v/>
      </c>
      <c r="J25" s="12" t="inlineStr">
        <is>
          <t>Year-1 NOI divided by the minimum debt yield.</t>
        </is>
      </c>
    </row>
    <row r="26">
      <c r="A26" s="10" t="inlineStr">
        <is>
          <t>Loan Sizing Test 3 — Minimum DSCR</t>
        </is>
      </c>
      <c r="C26" s="33">
        <f>'Annual Model'!C51/(Assumptions!$B$90*Assumptions!$B$91)</f>
        <v/>
      </c>
      <c r="J26" s="12" t="inlineStr">
        <is>
          <t>Year-1 NOI divided by (minimum DSCR × interest rate), interest-only.</t>
        </is>
      </c>
    </row>
    <row r="27">
      <c r="A27" s="10" t="inlineStr">
        <is>
          <t>Loan Amount (lesser of the three tests)</t>
        </is>
      </c>
      <c r="C27" s="77">
        <f>MIN(C24,C25,C26)</f>
        <v/>
      </c>
      <c r="J27" s="12" t="inlineStr">
        <is>
          <t>Sizing to the lesser of the three tests, as a lender would.</t>
        </is>
      </c>
    </row>
    <row r="28">
      <c r="A28" s="10" t="inlineStr">
        <is>
          <t xml:space="preserve">   Effective Loan to Cost</t>
        </is>
      </c>
      <c r="C28" s="41">
        <f>C27/C22</f>
        <v/>
      </c>
    </row>
    <row r="29">
      <c r="A29" s="10" t="inlineStr">
        <is>
          <t xml:space="preserve">   Loan per Unit</t>
        </is>
      </c>
      <c r="C29" s="33">
        <f>C27/Assumptions!$B$19</f>
        <v/>
      </c>
    </row>
    <row r="30">
      <c r="A30" s="10" t="inlineStr">
        <is>
          <t>Interest Rate (fixed, interest-only)</t>
        </is>
      </c>
      <c r="C30" s="59">
        <f>Assumptions!$B$91</f>
        <v/>
      </c>
    </row>
    <row r="31">
      <c r="A31" s="10" t="inlineStr">
        <is>
          <t>Annual Interest Expense</t>
        </is>
      </c>
      <c r="C31" s="33">
        <f>C27*Assumptions!$B$91</f>
        <v/>
      </c>
    </row>
    <row r="32">
      <c r="A32" s="10" t="inlineStr">
        <is>
          <t>Year-1 Debt Yield</t>
        </is>
      </c>
      <c r="C32" s="41">
        <f>'Annual Model'!C51/C27</f>
        <v/>
      </c>
      <c r="J32" s="12" t="inlineStr">
        <is>
          <t>Lender test: NOI / loan.</t>
        </is>
      </c>
    </row>
    <row r="33">
      <c r="A33" s="10" t="inlineStr">
        <is>
          <t>Year-1 DSCR</t>
        </is>
      </c>
      <c r="C33" s="78">
        <f>'Annual Model'!C51/C31</f>
        <v/>
      </c>
      <c r="J33" s="12" t="inlineStr">
        <is>
          <t>Lender test: NOI / interest.</t>
        </is>
      </c>
    </row>
    <row r="35">
      <c r="A35" s="4" t="inlineStr">
        <is>
          <t>EXIT VALUATION — END OF YEAR 5</t>
        </is>
      </c>
      <c r="B35" s="5" t="n"/>
      <c r="C35" s="5" t="n"/>
      <c r="D35" s="5" t="n"/>
      <c r="E35" s="5" t="n"/>
      <c r="F35" s="5" t="n"/>
      <c r="G35" s="5" t="n"/>
      <c r="H35" s="5" t="n"/>
      <c r="I35" s="5" t="n"/>
      <c r="J35" s="5" t="n"/>
    </row>
    <row r="36">
      <c r="A36" s="10" t="inlineStr">
        <is>
          <t>Year-6 Forward NOI</t>
        </is>
      </c>
      <c r="C36" s="33">
        <f>'Annual Model'!H51</f>
        <v/>
      </c>
      <c r="J36" s="12" t="inlineStr">
        <is>
          <t>Next-twelve-months NOI a buyer would capitalise.</t>
        </is>
      </c>
    </row>
    <row r="37">
      <c r="A37" s="10" t="inlineStr">
        <is>
          <t>Exit Cap Rate</t>
        </is>
      </c>
      <c r="C37" s="59">
        <f>Assumptions!$B$14</f>
        <v/>
      </c>
      <c r="J37" s="12" t="inlineStr">
        <is>
          <t>15 bps inside the going-in cap, reflecting a fully renovated asset with in-unit laundry throughout.</t>
        </is>
      </c>
    </row>
    <row r="38">
      <c r="A38" s="10" t="inlineStr">
        <is>
          <t>Gross Sale Value</t>
        </is>
      </c>
      <c r="C38" s="46">
        <f>C36/Assumptions!$B$14</f>
        <v/>
      </c>
    </row>
    <row r="39">
      <c r="A39" s="10" t="inlineStr">
        <is>
          <t xml:space="preserve">   Value per Unit</t>
        </is>
      </c>
      <c r="C39" s="33">
        <f>C38/Assumptions!$B$19</f>
        <v/>
      </c>
    </row>
    <row r="40">
      <c r="A40" s="10" t="inlineStr">
        <is>
          <t>Less: Cost of Sale</t>
        </is>
      </c>
      <c r="C40" s="33">
        <f>-C38*Assumptions!$B$15</f>
        <v/>
      </c>
    </row>
    <row r="41">
      <c r="A41" s="10" t="inlineStr">
        <is>
          <t>Net Sale Proceeds</t>
        </is>
      </c>
      <c r="C41" s="46">
        <f>C38+C40</f>
        <v/>
      </c>
    </row>
    <row r="42">
      <c r="A42" s="10" t="inlineStr">
        <is>
          <t>Less: Loan Repayment</t>
        </is>
      </c>
      <c r="C42" s="33">
        <f>-C27</f>
        <v/>
      </c>
    </row>
    <row r="43">
      <c r="A43" s="10" t="inlineStr">
        <is>
          <t>Net Proceeds to Equity</t>
        </is>
      </c>
      <c r="C43" s="46">
        <f>C41+C42</f>
        <v/>
      </c>
    </row>
    <row r="44">
      <c r="A44" s="10" t="inlineStr">
        <is>
          <t xml:space="preserve">   Value Created over Total Cost</t>
        </is>
      </c>
      <c r="C44" s="33">
        <f>C41-C22-Assumptions!$B$6*Assumptions!$B$11</f>
        <v/>
      </c>
      <c r="J44" s="12" t="inlineStr">
        <is>
          <t>Net sale proceeds less total capitalised cost and acquisition costs.</t>
        </is>
      </c>
    </row>
    <row r="46">
      <c r="A46" s="4" t="inlineStr">
        <is>
          <t>CASH FLOWS AND RETURNS</t>
        </is>
      </c>
      <c r="B46" s="5" t="n"/>
      <c r="C46" s="5" t="n"/>
      <c r="D46" s="5" t="n"/>
      <c r="E46" s="5" t="n"/>
      <c r="F46" s="5" t="n"/>
      <c r="G46" s="5" t="n"/>
      <c r="H46" s="5" t="n"/>
      <c r="I46" s="5" t="n"/>
      <c r="J46" s="5" t="n"/>
    </row>
    <row r="47">
      <c r="A47" s="6" t="inlineStr"/>
      <c r="C47" s="28" t="inlineStr">
        <is>
          <t>At Close</t>
        </is>
      </c>
      <c r="D47" s="28" t="inlineStr">
        <is>
          <t>Year 1</t>
        </is>
      </c>
      <c r="E47" s="28" t="inlineStr">
        <is>
          <t>Year 2</t>
        </is>
      </c>
      <c r="F47" s="28" t="inlineStr">
        <is>
          <t>Year 3</t>
        </is>
      </c>
      <c r="G47" s="28" t="inlineStr">
        <is>
          <t>Year 4</t>
        </is>
      </c>
      <c r="H47" s="28" t="inlineStr">
        <is>
          <t>Year 5</t>
        </is>
      </c>
      <c r="I47" s="28" t="inlineStr">
        <is>
          <t>Total</t>
        </is>
      </c>
    </row>
    <row r="48">
      <c r="A48" s="6" t="inlineStr">
        <is>
          <t>UNLEVERED</t>
        </is>
      </c>
    </row>
    <row r="49">
      <c r="A49" s="10" t="inlineStr">
        <is>
          <t>Net Cash Flow before Debt Service</t>
        </is>
      </c>
      <c r="C49" s="33">
        <f>-(C22+Assumptions!$B$6*Assumptions!$B$11)</f>
        <v/>
      </c>
      <c r="D49" s="52">
        <f>'Annual Model'!C60</f>
        <v/>
      </c>
      <c r="E49" s="52">
        <f>'Annual Model'!D60</f>
        <v/>
      </c>
      <c r="F49" s="52">
        <f>'Annual Model'!E60</f>
        <v/>
      </c>
      <c r="G49" s="52">
        <f>'Annual Model'!F60</f>
        <v/>
      </c>
      <c r="H49" s="52">
        <f>'Annual Model'!G60</f>
        <v/>
      </c>
    </row>
    <row r="50">
      <c r="A50" s="10" t="inlineStr">
        <is>
          <t>Net Sale Proceeds</t>
        </is>
      </c>
      <c r="H50" s="33">
        <f>C41</f>
        <v/>
      </c>
    </row>
    <row r="51">
      <c r="A51" s="36" t="inlineStr">
        <is>
          <t>Total Unlevered Cash Flow</t>
        </is>
      </c>
      <c r="C51" s="39">
        <f>C49</f>
        <v/>
      </c>
      <c r="D51" s="39">
        <f>SUM(D49:D50)</f>
        <v/>
      </c>
      <c r="E51" s="39">
        <f>SUM(E49:E50)</f>
        <v/>
      </c>
      <c r="F51" s="39">
        <f>SUM(F49:F50)</f>
        <v/>
      </c>
      <c r="G51" s="39">
        <f>SUM(G49:G50)</f>
        <v/>
      </c>
      <c r="H51" s="39">
        <f>SUM(H49:H50)</f>
        <v/>
      </c>
      <c r="I51" s="39">
        <f>SUM(C51:H51)</f>
        <v/>
      </c>
    </row>
    <row r="53">
      <c r="A53" s="6" t="inlineStr">
        <is>
          <t>LEVERED</t>
        </is>
      </c>
    </row>
    <row r="54">
      <c r="A54" s="10" t="inlineStr">
        <is>
          <t>Sponsor Equity</t>
        </is>
      </c>
      <c r="C54" s="33">
        <f>-C17</f>
        <v/>
      </c>
    </row>
    <row r="55">
      <c r="A55" s="10" t="inlineStr">
        <is>
          <t>Cash Flow to Equity (operations)</t>
        </is>
      </c>
      <c r="D55" s="52">
        <f>'Annual Model'!C62</f>
        <v/>
      </c>
      <c r="E55" s="52">
        <f>'Annual Model'!D62</f>
        <v/>
      </c>
      <c r="F55" s="52">
        <f>'Annual Model'!E62</f>
        <v/>
      </c>
      <c r="G55" s="52">
        <f>'Annual Model'!F62</f>
        <v/>
      </c>
      <c r="H55" s="52">
        <f>'Annual Model'!G62</f>
        <v/>
      </c>
    </row>
    <row r="56">
      <c r="A56" s="10" t="inlineStr">
        <is>
          <t>Net Proceeds to Equity at Sale</t>
        </is>
      </c>
      <c r="H56" s="33">
        <f>C43</f>
        <v/>
      </c>
    </row>
    <row r="57">
      <c r="A57" s="36" t="inlineStr">
        <is>
          <t>Total Levered Cash Flow</t>
        </is>
      </c>
      <c r="C57" s="39">
        <f>C54</f>
        <v/>
      </c>
      <c r="D57" s="39">
        <f>SUM(D55:D56)</f>
        <v/>
      </c>
      <c r="E57" s="39">
        <f>SUM(E55:E56)</f>
        <v/>
      </c>
      <c r="F57" s="39">
        <f>SUM(F55:F56)</f>
        <v/>
      </c>
      <c r="G57" s="39">
        <f>SUM(G55:G56)</f>
        <v/>
      </c>
      <c r="H57" s="39">
        <f>SUM(H55:H56)</f>
        <v/>
      </c>
      <c r="I57" s="39">
        <f>SUM(C57:H57)</f>
        <v/>
      </c>
    </row>
    <row r="58">
      <c r="A58" s="3" t="inlineStr">
        <is>
          <t xml:space="preserve">   Cash-on-Cash Return</t>
        </is>
      </c>
      <c r="D58" s="70">
        <f>D55/C17</f>
        <v/>
      </c>
      <c r="E58" s="70">
        <f>E55/C17</f>
        <v/>
      </c>
      <c r="F58" s="70">
        <f>F55/C17</f>
        <v/>
      </c>
      <c r="G58" s="70">
        <f>G55/C17</f>
        <v/>
      </c>
      <c r="H58" s="70">
        <f>H55/C17</f>
        <v/>
      </c>
    </row>
    <row r="60">
      <c r="A60" s="4" t="inlineStr">
        <is>
          <t>RETURN SUMMARY</t>
        </is>
      </c>
      <c r="B60" s="5" t="n"/>
      <c r="C60" s="5" t="n"/>
      <c r="D60" s="5" t="n"/>
      <c r="E60" s="5" t="n"/>
      <c r="F60" s="5" t="n"/>
      <c r="G60" s="5" t="n"/>
      <c r="H60" s="5" t="n"/>
      <c r="I60" s="5" t="n"/>
      <c r="J60" s="5" t="n"/>
    </row>
    <row r="61">
      <c r="A61" s="6" t="inlineStr"/>
      <c r="C61" s="28" t="inlineStr">
        <is>
          <t>Unlevered</t>
        </is>
      </c>
      <c r="D61" s="28" t="inlineStr">
        <is>
          <t>Levered</t>
        </is>
      </c>
      <c r="J61" s="8" t="inlineStr">
        <is>
          <t>Note</t>
        </is>
      </c>
    </row>
    <row r="62">
      <c r="A62" s="6" t="inlineStr">
        <is>
          <t>Internal Rate of Return</t>
        </is>
      </c>
      <c r="C62" s="79">
        <f>IRR(C51:H51)</f>
        <v/>
      </c>
      <c r="D62" s="79">
        <f>IRR(C57:H57)</f>
        <v/>
      </c>
    </row>
    <row r="63">
      <c r="A63" s="6" t="inlineStr">
        <is>
          <t>Equity Multiple</t>
        </is>
      </c>
      <c r="C63" s="80">
        <f>SUM(D51:H51)/-C51</f>
        <v/>
      </c>
      <c r="D63" s="80">
        <f>SUM(D57:H57)/-C57</f>
        <v/>
      </c>
    </row>
    <row r="64">
      <c r="A64" s="10" t="inlineStr">
        <is>
          <t>Profit</t>
        </is>
      </c>
      <c r="C64" s="33">
        <f>I51</f>
        <v/>
      </c>
      <c r="D64" s="33">
        <f>I57</f>
        <v/>
      </c>
    </row>
    <row r="65">
      <c r="A65" s="10" t="inlineStr">
        <is>
          <t>Average Cash-on-Cash (Years 1-5)</t>
        </is>
      </c>
      <c r="D65" s="41">
        <f>AVERAGE(D55:H55)/C17</f>
        <v/>
      </c>
    </row>
    <row r="66">
      <c r="A66" s="10" t="inlineStr">
        <is>
          <t>Going-In Cap Rate (our underwriting)</t>
        </is>
      </c>
      <c r="C66" s="59">
        <f>'Annual Model'!C51/Assumptions!$B$6</f>
        <v/>
      </c>
    </row>
    <row r="67">
      <c r="A67" s="10" t="inlineStr">
        <is>
          <t>Stabilised Yield on Total Cost (Year 5)</t>
        </is>
      </c>
      <c r="C67" s="59">
        <f>'Annual Model'!G51/C22</f>
        <v/>
      </c>
      <c r="J67" s="12" t="inlineStr">
        <is>
          <t>Development spread over the 6.75% exit cap is the value created by the business plan.</t>
        </is>
      </c>
    </row>
    <row r="68">
      <c r="A68" s="10" t="inlineStr">
        <is>
          <t>Renovation Return on Cost</t>
        </is>
      </c>
      <c r="C68" s="59">
        <f>Assumptions!$B$57*12/Assumptions!$B$55</f>
        <v/>
      </c>
    </row>
    <row r="69">
      <c r="A69" s="4" t="inlineStr">
        <is>
          <t>HURDLE TEST &amp; RECOMMENDATION</t>
        </is>
      </c>
      <c r="B69" s="5" t="n"/>
      <c r="C69" s="5" t="n"/>
      <c r="D69" s="5" t="n"/>
      <c r="E69" s="5" t="n"/>
      <c r="F69" s="5" t="n"/>
      <c r="G69" s="5" t="n"/>
      <c r="H69" s="5" t="n"/>
      <c r="I69" s="5" t="n"/>
      <c r="J69" s="5" t="n"/>
    </row>
    <row r="70">
      <c r="A70" s="6" t="inlineStr"/>
      <c r="C70" s="28" t="inlineStr">
        <is>
          <t>Target</t>
        </is>
      </c>
      <c r="D70" s="28" t="inlineStr">
        <is>
          <t>This Deal</t>
        </is>
      </c>
      <c r="E70" s="28" t="inlineStr">
        <is>
          <t>Result</t>
        </is>
      </c>
      <c r="J70" s="8" t="inlineStr">
        <is>
          <t>Note</t>
        </is>
      </c>
    </row>
    <row r="71">
      <c r="A71" s="10" t="inlineStr">
        <is>
          <t>Levered IRR</t>
        </is>
      </c>
      <c r="C71" s="16" t="n">
        <v>0.14</v>
      </c>
      <c r="D71" s="13">
        <f>D62</f>
        <v/>
      </c>
      <c r="E71" s="35">
        <f>IF(D71&gt;=C71,"PASS","FAIL")</f>
        <v/>
      </c>
    </row>
    <row r="72">
      <c r="A72" s="10" t="inlineStr">
        <is>
          <t>Equity Multiple</t>
        </is>
      </c>
      <c r="C72" s="30" t="n">
        <v>1.8</v>
      </c>
      <c r="D72" s="81">
        <f>D63</f>
        <v/>
      </c>
      <c r="E72" s="35">
        <f>IF(D72&gt;=C72,"PASS","FAIL")</f>
        <v/>
      </c>
    </row>
    <row r="73">
      <c r="A73" s="10" t="inlineStr">
        <is>
          <t>Year-5 Yield on Total Cost vs Exit Cap (spread)</t>
        </is>
      </c>
      <c r="C73" s="16" t="n">
        <v>0.0075</v>
      </c>
      <c r="D73" s="13">
        <f>'Annual Model'!G51/C22-Assumptions!$B$14</f>
        <v/>
      </c>
      <c r="E73" s="35">
        <f>IF(D73&gt;=C73,"PASS","FAIL")</f>
        <v/>
      </c>
    </row>
    <row r="74">
      <c r="A74" s="9" t="inlineStr">
        <is>
          <t>Recommended Maximum Bid (the price this model solves for)</t>
        </is>
      </c>
      <c r="C74" s="82">
        <f>Assumptions!$B$6</f>
        <v/>
      </c>
      <c r="D74" s="83">
        <f>C74/Assumptions!$B$19</f>
        <v/>
      </c>
      <c r="J74" s="12" t="inlineStr">
        <is>
          <t>The highest basis at which this business plan clears a 14% levered IRR and a 1.80x multiple on the conservative case. Set it on the Assumptions tab and the whole model, including both sensitivity grids and all three breakeven ladders, follows.</t>
        </is>
      </c>
    </row>
    <row r="75">
      <c r="A75" s="10" t="inlineStr">
        <is>
          <t>Implied Going-In Cap at the Recommended Bid</t>
        </is>
      </c>
      <c r="C75" s="59">
        <f>'Annual Model'!C51/C74</f>
        <v/>
      </c>
    </row>
    <row r="76">
      <c r="A76" s="10" t="inlineStr">
        <is>
          <t>Actual Trade Price, 12 June 2026</t>
        </is>
      </c>
      <c r="C76" s="52">
        <f>Assumptions!$B$7</f>
        <v/>
      </c>
      <c r="J76" s="12" t="inlineStr">
        <is>
          <t>Marion County deed, special warranty, assessor validity flag 'Y'. $115,466 per unit.</t>
        </is>
      </c>
    </row>
    <row r="77">
      <c r="A77" s="10" t="inlineStr">
        <is>
          <t xml:space="preserve">  Our Bid vs the Actual Trade</t>
        </is>
      </c>
      <c r="C77" s="41">
        <f>Assumptions!$B$6/Assumptions!$B$7-1</f>
        <v/>
      </c>
    </row>
    <row r="78">
      <c r="A78" s="4" t="inlineStr">
        <is>
          <t>OUR BID vs WHAT IT ACTUALLY TRADED FOR</t>
        </is>
      </c>
      <c r="B78" s="5" t="n"/>
      <c r="C78" s="5" t="n"/>
      <c r="D78" s="5" t="n"/>
      <c r="E78" s="5" t="n"/>
      <c r="F78" s="5" t="n"/>
      <c r="G78" s="5" t="n"/>
      <c r="H78" s="5" t="n"/>
      <c r="I78" s="5" t="n"/>
      <c r="J78" s="5" t="n"/>
    </row>
    <row r="79">
      <c r="A79" s="6" t="inlineStr"/>
      <c r="C79" s="28" t="inlineStr">
        <is>
          <t>At Our Bid</t>
        </is>
      </c>
      <c r="D79" s="28" t="inlineStr">
        <is>
          <t>At Actual Trade</t>
        </is>
      </c>
      <c r="J79" s="12" t="inlineStr">
        <is>
          <t>Operating NOI is identical in both cases — only the basis, the loan and the equity change.</t>
        </is>
      </c>
    </row>
    <row r="80">
      <c r="A80" s="10" t="inlineStr">
        <is>
          <t>Purchase Price</t>
        </is>
      </c>
      <c r="C80" s="33">
        <f>Assumptions!$B$6</f>
        <v/>
      </c>
      <c r="D80" s="33">
        <f>Assumptions!$B$7</f>
        <v/>
      </c>
    </row>
    <row r="81">
      <c r="A81" s="10" t="inlineStr">
        <is>
          <t>Price per Unit</t>
        </is>
      </c>
      <c r="C81" s="33">
        <f>Assumptions!$B$6/Assumptions!$B$19</f>
        <v/>
      </c>
      <c r="D81" s="33">
        <f>Assumptions!$B$7/Assumptions!$B$19</f>
        <v/>
      </c>
    </row>
    <row r="82">
      <c r="A82" s="10" t="inlineStr">
        <is>
          <t>Total Capitalised Cost</t>
        </is>
      </c>
      <c r="C82" s="33">
        <f>C22</f>
        <v/>
      </c>
      <c r="D82" s="33">
        <f>Assumptions!$B$7+'Unit Mix'!$D$21+'Capex Budget'!B14+C11</f>
        <v/>
      </c>
    </row>
    <row r="83">
      <c r="A83" s="10" t="inlineStr">
        <is>
          <t>All-in Basis per Unit</t>
        </is>
      </c>
      <c r="C83" s="33">
        <f>C22/Assumptions!$B$19</f>
        <v/>
      </c>
      <c r="D83" s="33">
        <f>D82/Assumptions!$B$19</f>
        <v/>
      </c>
    </row>
    <row r="84">
      <c r="A84" s="10" t="inlineStr">
        <is>
          <t>Going-In Cap Rate (our Year-1 NOI)</t>
        </is>
      </c>
      <c r="C84" s="59">
        <f>'Annual Model'!C51/Assumptions!$B$6</f>
        <v/>
      </c>
      <c r="D84" s="59">
        <f>'Annual Model'!C51/Assumptions!$B$7</f>
        <v/>
      </c>
    </row>
    <row r="85">
      <c r="A85" s="10" t="inlineStr">
        <is>
          <t>Year-5 Yield on Total Cost</t>
        </is>
      </c>
      <c r="C85" s="59">
        <f>'Annual Model'!G51/C22</f>
        <v/>
      </c>
      <c r="D85" s="59">
        <f>'Annual Model'!G51/D82</f>
        <v/>
      </c>
    </row>
    <row r="86">
      <c r="A86" s="10" t="inlineStr">
        <is>
          <t>Spread to the Exit Cap</t>
        </is>
      </c>
      <c r="C86" s="41">
        <f>C85-Assumptions!$B$14</f>
        <v/>
      </c>
      <c r="D86" s="41">
        <f>D85-Assumptions!$B$14</f>
        <v/>
      </c>
    </row>
    <row r="87">
      <c r="A87" s="10" t="inlineStr">
        <is>
          <t>Loan Amount</t>
        </is>
      </c>
      <c r="C87" s="33">
        <f>C27</f>
        <v/>
      </c>
      <c r="D87" s="33">
        <f>MIN(D82*Assumptions!$B$88,C25,C26)</f>
        <v/>
      </c>
    </row>
    <row r="88">
      <c r="A88" s="10" t="inlineStr">
        <is>
          <t>Sponsor Equity</t>
        </is>
      </c>
      <c r="C88" s="33">
        <f>C17</f>
        <v/>
      </c>
      <c r="D88" s="46">
        <f>D80+D80*Assumptions!$B$11+'Unit Mix'!$D$21+'Capex Budget'!B14+C11+D87*Assumptions!$B$92+Assumptions!$B$93-D87</f>
        <v/>
      </c>
    </row>
    <row r="89">
      <c r="A89" s="10" t="inlineStr">
        <is>
          <t>Annual Interest Expense</t>
        </is>
      </c>
      <c r="C89" s="33">
        <f>C31</f>
        <v/>
      </c>
      <c r="D89" s="33">
        <f>D87*Assumptions!$B$91</f>
        <v/>
      </c>
    </row>
    <row r="90">
      <c r="A90" s="10" t="inlineStr">
        <is>
          <t>Net Proceeds to Equity at Sale</t>
        </is>
      </c>
      <c r="C90" s="33">
        <f>C43</f>
        <v/>
      </c>
      <c r="D90" s="33">
        <f>C41-D87</f>
        <v/>
      </c>
    </row>
    <row r="92">
      <c r="A92" s="10" t="inlineStr">
        <is>
          <t>Unlevered Cash Flow at Our Bid</t>
        </is>
      </c>
      <c r="C92" s="33">
        <f>-(D82+D80*Assumptions!$B$11)</f>
        <v/>
      </c>
      <c r="D92" s="33">
        <f>'Annual Model'!C60</f>
        <v/>
      </c>
      <c r="E92" s="33">
        <f>'Annual Model'!D60</f>
        <v/>
      </c>
      <c r="F92" s="33">
        <f>'Annual Model'!E60</f>
        <v/>
      </c>
      <c r="G92" s="33">
        <f>'Annual Model'!F60</f>
        <v/>
      </c>
      <c r="H92" s="33">
        <f>'Annual Model'!G60+C41</f>
        <v/>
      </c>
    </row>
    <row r="93">
      <c r="A93" s="10" t="inlineStr">
        <is>
          <t>Levered Cash Flow at Our Bid</t>
        </is>
      </c>
      <c r="C93" s="33">
        <f>-D88</f>
        <v/>
      </c>
      <c r="D93" s="33">
        <f>'Annual Model'!C60-$D$89</f>
        <v/>
      </c>
      <c r="E93" s="33">
        <f>'Annual Model'!D60-$D$89</f>
        <v/>
      </c>
      <c r="F93" s="33">
        <f>'Annual Model'!E60-$D$89</f>
        <v/>
      </c>
      <c r="G93" s="33">
        <f>'Annual Model'!F60-$D$89</f>
        <v/>
      </c>
      <c r="H93" s="33">
        <f>'Annual Model'!G60-$D$89+D90</f>
        <v/>
      </c>
    </row>
    <row r="94">
      <c r="A94" s="36" t="inlineStr">
        <is>
          <t>Unlevered IRR  /  Equity Multiple</t>
        </is>
      </c>
      <c r="C94" s="54">
        <f>IRR(C51:H51)</f>
        <v/>
      </c>
      <c r="D94" s="84">
        <f>IRR(C92:H92)</f>
        <v/>
      </c>
      <c r="E94" s="85">
        <f>SUM(D92:H92)/-C92</f>
        <v/>
      </c>
    </row>
    <row r="95">
      <c r="A95" s="55" t="inlineStr">
        <is>
          <t>Levered IRR  /  Equity Multiple</t>
        </is>
      </c>
      <c r="C95" s="58">
        <f>IRR(C57:H57)</f>
        <v/>
      </c>
      <c r="D95" s="86">
        <f>IRR(C93:H93)</f>
        <v/>
      </c>
      <c r="E95" s="87">
        <f>SUM(D93:H93)/-C93</f>
        <v/>
      </c>
    </row>
    <row r="96">
      <c r="A96" s="10" t="inlineStr">
        <is>
          <t>Average Cash-on-Cash (Years 1-5)</t>
        </is>
      </c>
      <c r="C96" s="41">
        <f>AVERAGE(D55:H55)/C17</f>
        <v/>
      </c>
      <c r="D96" s="41">
        <f>(AVERAGE('Annual Model'!C60:G60)-D89)/D88</f>
        <v/>
      </c>
    </row>
    <row r="97">
      <c r="A97" s="4" t="inlineStr">
        <is>
          <t>VALUE CREATION BRIDGE — WHERE THE MONEY IS MADE (AND LOST)</t>
        </is>
      </c>
      <c r="B97" s="5" t="n"/>
      <c r="C97" s="5" t="n"/>
      <c r="D97" s="5" t="n"/>
      <c r="E97" s="5" t="n"/>
      <c r="F97" s="5" t="n"/>
      <c r="G97" s="5" t="n"/>
      <c r="H97" s="5" t="n"/>
      <c r="I97" s="5" t="n"/>
      <c r="J97" s="5" t="n"/>
    </row>
    <row r="98">
      <c r="A98" s="8" t="inlineStr">
        <is>
          <t>Component</t>
        </is>
      </c>
      <c r="C98" s="28" t="inlineStr">
        <is>
          <t>Amount</t>
        </is>
      </c>
      <c r="D98" s="28" t="inlineStr">
        <is>
          <t>Per Unit</t>
        </is>
      </c>
      <c r="J98" s="8" t="inlineStr">
        <is>
          <t>Comment</t>
        </is>
      </c>
    </row>
    <row r="99">
      <c r="A99" s="10" t="inlineStr">
        <is>
          <t>Purchase Price</t>
        </is>
      </c>
      <c r="C99" s="33">
        <f>-Assumptions!$B$6</f>
        <v/>
      </c>
      <c r="D99" s="33">
        <f>C99/Assumptions!$B$19</f>
        <v/>
      </c>
      <c r="J99" s="12" t="inlineStr">
        <is>
          <t>What we pay.</t>
        </is>
      </c>
    </row>
    <row r="100">
      <c r="A100" s="10" t="inlineStr">
        <is>
          <t>Acquisition Costs</t>
        </is>
      </c>
      <c r="C100" s="33">
        <f>-Assumptions!$B$6*Assumptions!$B$11</f>
        <v/>
      </c>
      <c r="D100" s="33">
        <f>C100/Assumptions!$B$19</f>
        <v/>
      </c>
    </row>
    <row r="101">
      <c r="A101" s="10" t="inlineStr">
        <is>
          <t>Renovation Capital (118 units)</t>
        </is>
      </c>
      <c r="C101" s="33">
        <f>-'Unit Mix'!$D$21</f>
        <v/>
      </c>
      <c r="D101" s="33">
        <f>C101/Assumptions!$B$19</f>
        <v/>
      </c>
      <c r="J101" s="12" t="inlineStr">
        <is>
          <t>Earns a 12.7% return on cost.</t>
        </is>
      </c>
    </row>
    <row r="102">
      <c r="A102" s="10" t="inlineStr">
        <is>
          <t>Non-Unit / Deferred Maintenance Capital</t>
        </is>
      </c>
      <c r="C102" s="33">
        <f>-'Capex Budget'!B14</f>
        <v/>
      </c>
      <c r="D102" s="33">
        <f>C102/Assumptions!$B$19</f>
        <v/>
      </c>
      <c r="J102" s="12" t="inlineStr">
        <is>
          <t>Earns no direct rent. Required to hold the asset and to support the renovated rents, but it is a pure drag on returns.</t>
        </is>
      </c>
    </row>
    <row r="103">
      <c r="A103" s="10" t="inlineStr">
        <is>
          <t>Capital Contingency</t>
        </is>
      </c>
      <c r="C103" s="33">
        <f>-C11</f>
        <v/>
      </c>
      <c r="D103" s="33">
        <f>C103/Assumptions!$B$19</f>
        <v/>
      </c>
    </row>
    <row r="104">
      <c r="A104" s="10" t="inlineStr">
        <is>
          <t>Cumulative NOI, Years 1-5</t>
        </is>
      </c>
      <c r="C104" s="33">
        <f>SUM('Annual Model'!C51:G51)</f>
        <v/>
      </c>
      <c r="D104" s="33">
        <f>C104/Assumptions!$B$19</f>
        <v/>
      </c>
      <c r="J104" s="12" t="inlineStr">
        <is>
          <t>Five years of operations.</t>
        </is>
      </c>
    </row>
    <row r="105">
      <c r="A105" s="10" t="inlineStr">
        <is>
          <t>Replacement Reserves over the hold</t>
        </is>
      </c>
      <c r="C105" s="33">
        <f>SUM('Annual Model'!C59:G59)</f>
        <v/>
      </c>
      <c r="D105" s="33">
        <f>C105/Assumptions!$B$19</f>
        <v/>
      </c>
    </row>
    <row r="106">
      <c r="A106" s="10" t="inlineStr">
        <is>
          <t>Net Sale Proceeds</t>
        </is>
      </c>
      <c r="C106" s="33">
        <f>C41</f>
        <v/>
      </c>
      <c r="D106" s="33">
        <f>C106/Assumptions!$B$19</f>
        <v/>
      </c>
      <c r="J106" s="12" t="inlineStr">
        <is>
          <t>Year-6 NOI capitalised at the exit cap, less 1.5% cost of sale.</t>
        </is>
      </c>
    </row>
    <row r="107">
      <c r="A107" s="55" t="inlineStr">
        <is>
          <t>Unlevered Profit</t>
        </is>
      </c>
      <c r="C107" s="56">
        <f>SUM(C99:C106)</f>
        <v/>
      </c>
      <c r="D107" s="56">
        <f>C107/Assumptions!$B$19</f>
        <v/>
      </c>
    </row>
    <row r="109">
      <c r="A109" s="10" t="inlineStr">
        <is>
          <t>NOI lift created by the renovation programme</t>
        </is>
      </c>
      <c r="C109" s="33">
        <f>Assumptions!$B$57*Assumptions!$B$19*12*(1-Assumptions!G$65-Assumptions!G$66-Assumptions!G$67-Assumptions!G$68)*(1-Assumptions!$B$74)</f>
        <v/>
      </c>
      <c r="J109" s="12" t="inlineStr">
        <is>
          <t>Blended premium, net of vacancy, loss to lease, concessions, bad debt and the management fee.</t>
        </is>
      </c>
    </row>
    <row r="110">
      <c r="A110" s="10" t="inlineStr">
        <is>
          <t>Value of that lift at the exit cap</t>
        </is>
      </c>
      <c r="C110" s="33">
        <f>C109/Assumptions!$B$14</f>
        <v/>
      </c>
    </row>
    <row r="111">
      <c r="A111" s="10" t="inlineStr">
        <is>
          <t>Less: renovation capital + its share of contingency</t>
        </is>
      </c>
      <c r="C111" s="33">
        <f>-'Unit Mix'!$D$21*(1+Assumptions!$B$60)</f>
        <v/>
      </c>
    </row>
    <row r="112">
      <c r="A112" s="36" t="inlineStr">
        <is>
          <t>Value created by the interior programme</t>
        </is>
      </c>
      <c r="C112" s="39">
        <f>C110+C111</f>
        <v/>
      </c>
    </row>
    <row r="113">
      <c r="A113" s="10" t="inlineStr">
        <is>
          <t>Less: non-unit capital + its share of contingency (no rent lift)</t>
        </is>
      </c>
      <c r="C113" s="33">
        <f>-'Capex Budget'!B14*(1+Assumptions!$B$60)</f>
        <v/>
      </c>
    </row>
    <row r="114" ht="80" customHeight="1">
      <c r="A114" s="74" t="inlineStr">
        <is>
          <t>Net value created by the capital plan</t>
        </is>
      </c>
      <c r="C114" s="75">
        <f>C112+C113</f>
        <v/>
      </c>
      <c r="J114" s="12" t="inlineStr">
        <is>
          <t>This is the heart of the recommendation. The interior renovation is a good project on its own — a 12.7% return on cost against a 6.75% exit cap. But roughly a third of the capital budget is deferred maintenance that generates no rent, and it consumes almost all of the value the renovation creates. The operating upside the OM advertises (burning off loss to lease, occupancy to 95%, fully billing the technology and valet trash charges) is already embedded in the forecast NOI the asking price is struck against — so we would be paying today for value we have to create ourselves.</t>
        </is>
      </c>
    </row>
    <row r="116" ht="34" customHeight="1">
      <c r="A116" s="12" t="inlineStr">
        <is>
          <t>Cash flow convention: all capital is funded at closing, so the Year-0 outflow carries the full renovation and property capital budget and annual cash flow deducts only interest and replacement reserves. Interest is constant because the loan is interest-only and fully drawn at close.</t>
        </is>
      </c>
    </row>
  </sheetData>
  <mergeCells count="9">
    <mergeCell ref="A116:J116"/>
    <mergeCell ref="A5:J5"/>
    <mergeCell ref="A46:J46"/>
    <mergeCell ref="A97:J97"/>
    <mergeCell ref="A78:J78"/>
    <mergeCell ref="A21:J21"/>
    <mergeCell ref="A69:J69"/>
    <mergeCell ref="A35:J35"/>
    <mergeCell ref="A60:J60"/>
  </mergeCells>
  <printOptions horizontalCentered="0"/>
  <pageMargins left="0.4" right="0.4"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M1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CHATEAU IN THE WOODS  |  4020 Monaco Drive, Indianapolis, IN 46220  |  118 Units</t>
        </is>
      </c>
    </row>
    <row r="2">
      <c r="A2" s="2" t="inlineStr">
        <is>
          <t>Live Sensitivities and Breakeven Ladders — every cell recalculates from the Assumptions tab</t>
        </is>
      </c>
    </row>
    <row r="3">
      <c r="A3" s="3" t="inlineStr">
        <is>
          <t>Blue = hardcoded input / lever   ·   Black = formula   ·   Green = link to another sheet   ·   Yellow fill = key assumption</t>
        </is>
      </c>
    </row>
    <row r="5">
      <c r="A5" s="4" t="inlineStr">
        <is>
          <t>HELPER BLOCK 1 — PURCHASE PRICE x EXIT CAP</t>
        </is>
      </c>
      <c r="B5" s="5" t="n"/>
      <c r="C5" s="5" t="n"/>
      <c r="D5" s="5" t="n"/>
      <c r="E5" s="5" t="n"/>
      <c r="F5" s="5" t="n"/>
      <c r="G5" s="5" t="n"/>
      <c r="H5" s="5" t="n"/>
      <c r="I5" s="5" t="n"/>
      <c r="J5" s="5" t="n"/>
      <c r="K5" s="5" t="n"/>
      <c r="L5" s="5" t="n"/>
      <c r="M5" s="5" t="n"/>
    </row>
    <row r="6">
      <c r="A6" s="62" t="inlineStr">
        <is>
          <t>Purchase Price</t>
        </is>
      </c>
      <c r="B6" s="62" t="inlineStr">
        <is>
          <t>Exit Cap</t>
        </is>
      </c>
      <c r="C6" s="62" t="inlineStr">
        <is>
          <t>Loan</t>
        </is>
      </c>
      <c r="D6" s="62" t="inlineStr">
        <is>
          <t>Equity</t>
        </is>
      </c>
      <c r="E6" s="62" t="inlineStr">
        <is>
          <t>Year 0</t>
        </is>
      </c>
      <c r="F6" s="62" t="inlineStr">
        <is>
          <t>Year 1</t>
        </is>
      </c>
      <c r="G6" s="62" t="inlineStr">
        <is>
          <t>Year 2</t>
        </is>
      </c>
      <c r="H6" s="62" t="inlineStr">
        <is>
          <t>Year 3</t>
        </is>
      </c>
      <c r="I6" s="62" t="inlineStr">
        <is>
          <t>Year 4</t>
        </is>
      </c>
      <c r="J6" s="62" t="inlineStr">
        <is>
          <t>Year 5</t>
        </is>
      </c>
      <c r="K6" s="62" t="inlineStr">
        <is>
          <t>Levered IRR</t>
        </is>
      </c>
      <c r="L6" s="62" t="inlineStr">
        <is>
          <t>Equity Mult.</t>
        </is>
      </c>
    </row>
    <row r="7">
      <c r="A7" s="44" t="n">
        <v>10500000</v>
      </c>
      <c r="B7" s="88" t="n">
        <v>0.06</v>
      </c>
      <c r="C7" s="33">
        <f>MIN(($A7+(Assumptions!$B$56+'Capex Budget'!$B$14)*(1+Assumptions!$B$60))*Assumptions!$B$88,('Annual Model'!C51)/Assumptions!$B$89,('Annual Model'!C51)/(Assumptions!$B$90*Assumptions!$B$91))</f>
        <v/>
      </c>
      <c r="D7" s="33">
        <f>$A7+(Assumptions!$B$56+'Capex Budget'!$B$14)*(1+Assumptions!$B$60)+$A7*Assumptions!$B$11+C7*Assumptions!$B$92+Assumptions!$B$93-C7</f>
        <v/>
      </c>
      <c r="E7" s="33">
        <f>-D7</f>
        <v/>
      </c>
      <c r="F7" s="33">
        <f>'Annual Model'!C60-C7*Assumptions!$B$91</f>
        <v/>
      </c>
      <c r="G7" s="33">
        <f>'Annual Model'!D60-C7*Assumptions!$B$91</f>
        <v/>
      </c>
      <c r="H7" s="33">
        <f>'Annual Model'!E60-C7*Assumptions!$B$91</f>
        <v/>
      </c>
      <c r="I7" s="33">
        <f>'Annual Model'!F60-C7*Assumptions!$B$91</f>
        <v/>
      </c>
      <c r="J7" s="33">
        <f>'Annual Model'!G60-C7*Assumptions!$B$91+('Annual Model'!H51)/$B7*(1-Assumptions!$B$15)-C7</f>
        <v/>
      </c>
      <c r="K7" s="89">
        <f>IRR(E7:J7)</f>
        <v/>
      </c>
      <c r="L7" s="78">
        <f>SUM(F7:J7)/-E7</f>
        <v/>
      </c>
    </row>
    <row r="8">
      <c r="A8" s="44" t="n">
        <v>10500000</v>
      </c>
      <c r="B8" s="88" t="n">
        <v>0.065</v>
      </c>
      <c r="C8" s="33">
        <f>MIN(($A8+(Assumptions!$B$56+'Capex Budget'!$B$14)*(1+Assumptions!$B$60))*Assumptions!$B$88,('Annual Model'!C51)/Assumptions!$B$89,('Annual Model'!C51)/(Assumptions!$B$90*Assumptions!$B$91))</f>
        <v/>
      </c>
      <c r="D8" s="33">
        <f>$A8+(Assumptions!$B$56+'Capex Budget'!$B$14)*(1+Assumptions!$B$60)+$A8*Assumptions!$B$11+C8*Assumptions!$B$92+Assumptions!$B$93-C8</f>
        <v/>
      </c>
      <c r="E8" s="33">
        <f>-D8</f>
        <v/>
      </c>
      <c r="F8" s="33">
        <f>'Annual Model'!C60-C8*Assumptions!$B$91</f>
        <v/>
      </c>
      <c r="G8" s="33">
        <f>'Annual Model'!D60-C8*Assumptions!$B$91</f>
        <v/>
      </c>
      <c r="H8" s="33">
        <f>'Annual Model'!E60-C8*Assumptions!$B$91</f>
        <v/>
      </c>
      <c r="I8" s="33">
        <f>'Annual Model'!F60-C8*Assumptions!$B$91</f>
        <v/>
      </c>
      <c r="J8" s="33">
        <f>'Annual Model'!G60-C8*Assumptions!$B$91+('Annual Model'!H51)/$B8*(1-Assumptions!$B$15)-C8</f>
        <v/>
      </c>
      <c r="K8" s="89">
        <f>IRR(E8:J8)</f>
        <v/>
      </c>
      <c r="L8" s="78">
        <f>SUM(F8:J8)/-E8</f>
        <v/>
      </c>
    </row>
    <row r="9">
      <c r="A9" s="44" t="n">
        <v>10500000</v>
      </c>
      <c r="B9" s="88" t="n">
        <v>0.0675</v>
      </c>
      <c r="C9" s="33">
        <f>MIN(($A9+(Assumptions!$B$56+'Capex Budget'!$B$14)*(1+Assumptions!$B$60))*Assumptions!$B$88,('Annual Model'!C51)/Assumptions!$B$89,('Annual Model'!C51)/(Assumptions!$B$90*Assumptions!$B$91))</f>
        <v/>
      </c>
      <c r="D9" s="33">
        <f>$A9+(Assumptions!$B$56+'Capex Budget'!$B$14)*(1+Assumptions!$B$60)+$A9*Assumptions!$B$11+C9*Assumptions!$B$92+Assumptions!$B$93-C9</f>
        <v/>
      </c>
      <c r="E9" s="33">
        <f>-D9</f>
        <v/>
      </c>
      <c r="F9" s="33">
        <f>'Annual Model'!C60-C9*Assumptions!$B$91</f>
        <v/>
      </c>
      <c r="G9" s="33">
        <f>'Annual Model'!D60-C9*Assumptions!$B$91</f>
        <v/>
      </c>
      <c r="H9" s="33">
        <f>'Annual Model'!E60-C9*Assumptions!$B$91</f>
        <v/>
      </c>
      <c r="I9" s="33">
        <f>'Annual Model'!F60-C9*Assumptions!$B$91</f>
        <v/>
      </c>
      <c r="J9" s="33">
        <f>'Annual Model'!G60-C9*Assumptions!$B$91+('Annual Model'!H51)/$B9*(1-Assumptions!$B$15)-C9</f>
        <v/>
      </c>
      <c r="K9" s="89">
        <f>IRR(E9:J9)</f>
        <v/>
      </c>
      <c r="L9" s="78">
        <f>SUM(F9:J9)/-E9</f>
        <v/>
      </c>
    </row>
    <row r="10">
      <c r="A10" s="44" t="n">
        <v>10500000</v>
      </c>
      <c r="B10" s="88" t="n">
        <v>0.07000000000000001</v>
      </c>
      <c r="C10" s="33">
        <f>MIN(($A10+(Assumptions!$B$56+'Capex Budget'!$B$14)*(1+Assumptions!$B$60))*Assumptions!$B$88,('Annual Model'!C51)/Assumptions!$B$89,('Annual Model'!C51)/(Assumptions!$B$90*Assumptions!$B$91))</f>
        <v/>
      </c>
      <c r="D10" s="33">
        <f>$A10+(Assumptions!$B$56+'Capex Budget'!$B$14)*(1+Assumptions!$B$60)+$A10*Assumptions!$B$11+C10*Assumptions!$B$92+Assumptions!$B$93-C10</f>
        <v/>
      </c>
      <c r="E10" s="33">
        <f>-D10</f>
        <v/>
      </c>
      <c r="F10" s="33">
        <f>'Annual Model'!C60-C10*Assumptions!$B$91</f>
        <v/>
      </c>
      <c r="G10" s="33">
        <f>'Annual Model'!D60-C10*Assumptions!$B$91</f>
        <v/>
      </c>
      <c r="H10" s="33">
        <f>'Annual Model'!E60-C10*Assumptions!$B$91</f>
        <v/>
      </c>
      <c r="I10" s="33">
        <f>'Annual Model'!F60-C10*Assumptions!$B$91</f>
        <v/>
      </c>
      <c r="J10" s="33">
        <f>'Annual Model'!G60-C10*Assumptions!$B$91+('Annual Model'!H51)/$B10*(1-Assumptions!$B$15)-C10</f>
        <v/>
      </c>
      <c r="K10" s="89">
        <f>IRR(E10:J10)</f>
        <v/>
      </c>
      <c r="L10" s="78">
        <f>SUM(F10:J10)/-E10</f>
        <v/>
      </c>
    </row>
    <row r="11">
      <c r="A11" s="44" t="n">
        <v>10500000</v>
      </c>
      <c r="B11" s="88" t="n">
        <v>0.075</v>
      </c>
      <c r="C11" s="33">
        <f>MIN(($A11+(Assumptions!$B$56+'Capex Budget'!$B$14)*(1+Assumptions!$B$60))*Assumptions!$B$88,('Annual Model'!C51)/Assumptions!$B$89,('Annual Model'!C51)/(Assumptions!$B$90*Assumptions!$B$91))</f>
        <v/>
      </c>
      <c r="D11" s="33">
        <f>$A11+(Assumptions!$B$56+'Capex Budget'!$B$14)*(1+Assumptions!$B$60)+$A11*Assumptions!$B$11+C11*Assumptions!$B$92+Assumptions!$B$93-C11</f>
        <v/>
      </c>
      <c r="E11" s="33">
        <f>-D11</f>
        <v/>
      </c>
      <c r="F11" s="33">
        <f>'Annual Model'!C60-C11*Assumptions!$B$91</f>
        <v/>
      </c>
      <c r="G11" s="33">
        <f>'Annual Model'!D60-C11*Assumptions!$B$91</f>
        <v/>
      </c>
      <c r="H11" s="33">
        <f>'Annual Model'!E60-C11*Assumptions!$B$91</f>
        <v/>
      </c>
      <c r="I11" s="33">
        <f>'Annual Model'!F60-C11*Assumptions!$B$91</f>
        <v/>
      </c>
      <c r="J11" s="33">
        <f>'Annual Model'!G60-C11*Assumptions!$B$91+('Annual Model'!H51)/$B11*(1-Assumptions!$B$15)-C11</f>
        <v/>
      </c>
      <c r="K11" s="89">
        <f>IRR(E11:J11)</f>
        <v/>
      </c>
      <c r="L11" s="78">
        <f>SUM(F11:J11)/-E11</f>
        <v/>
      </c>
    </row>
    <row r="12">
      <c r="A12" s="44" t="n">
        <v>11000000</v>
      </c>
      <c r="B12" s="88" t="n">
        <v>0.06</v>
      </c>
      <c r="C12" s="33">
        <f>MIN(($A12+(Assumptions!$B$56+'Capex Budget'!$B$14)*(1+Assumptions!$B$60))*Assumptions!$B$88,('Annual Model'!C51)/Assumptions!$B$89,('Annual Model'!C51)/(Assumptions!$B$90*Assumptions!$B$91))</f>
        <v/>
      </c>
      <c r="D12" s="33">
        <f>$A12+(Assumptions!$B$56+'Capex Budget'!$B$14)*(1+Assumptions!$B$60)+$A12*Assumptions!$B$11+C12*Assumptions!$B$92+Assumptions!$B$93-C12</f>
        <v/>
      </c>
      <c r="E12" s="33">
        <f>-D12</f>
        <v/>
      </c>
      <c r="F12" s="33">
        <f>'Annual Model'!C60-C12*Assumptions!$B$91</f>
        <v/>
      </c>
      <c r="G12" s="33">
        <f>'Annual Model'!D60-C12*Assumptions!$B$91</f>
        <v/>
      </c>
      <c r="H12" s="33">
        <f>'Annual Model'!E60-C12*Assumptions!$B$91</f>
        <v/>
      </c>
      <c r="I12" s="33">
        <f>'Annual Model'!F60-C12*Assumptions!$B$91</f>
        <v/>
      </c>
      <c r="J12" s="33">
        <f>'Annual Model'!G60-C12*Assumptions!$B$91+('Annual Model'!H51)/$B12*(1-Assumptions!$B$15)-C12</f>
        <v/>
      </c>
      <c r="K12" s="89">
        <f>IRR(E12:J12)</f>
        <v/>
      </c>
      <c r="L12" s="78">
        <f>SUM(F12:J12)/-E12</f>
        <v/>
      </c>
    </row>
    <row r="13">
      <c r="A13" s="44" t="n">
        <v>11000000</v>
      </c>
      <c r="B13" s="88" t="n">
        <v>0.065</v>
      </c>
      <c r="C13" s="33">
        <f>MIN(($A13+(Assumptions!$B$56+'Capex Budget'!$B$14)*(1+Assumptions!$B$60))*Assumptions!$B$88,('Annual Model'!C51)/Assumptions!$B$89,('Annual Model'!C51)/(Assumptions!$B$90*Assumptions!$B$91))</f>
        <v/>
      </c>
      <c r="D13" s="33">
        <f>$A13+(Assumptions!$B$56+'Capex Budget'!$B$14)*(1+Assumptions!$B$60)+$A13*Assumptions!$B$11+C13*Assumptions!$B$92+Assumptions!$B$93-C13</f>
        <v/>
      </c>
      <c r="E13" s="33">
        <f>-D13</f>
        <v/>
      </c>
      <c r="F13" s="33">
        <f>'Annual Model'!C60-C13*Assumptions!$B$91</f>
        <v/>
      </c>
      <c r="G13" s="33">
        <f>'Annual Model'!D60-C13*Assumptions!$B$91</f>
        <v/>
      </c>
      <c r="H13" s="33">
        <f>'Annual Model'!E60-C13*Assumptions!$B$91</f>
        <v/>
      </c>
      <c r="I13" s="33">
        <f>'Annual Model'!F60-C13*Assumptions!$B$91</f>
        <v/>
      </c>
      <c r="J13" s="33">
        <f>'Annual Model'!G60-C13*Assumptions!$B$91+('Annual Model'!H51)/$B13*(1-Assumptions!$B$15)-C13</f>
        <v/>
      </c>
      <c r="K13" s="89">
        <f>IRR(E13:J13)</f>
        <v/>
      </c>
      <c r="L13" s="78">
        <f>SUM(F13:J13)/-E13</f>
        <v/>
      </c>
    </row>
    <row r="14">
      <c r="A14" s="44" t="n">
        <v>11000000</v>
      </c>
      <c r="B14" s="88" t="n">
        <v>0.0675</v>
      </c>
      <c r="C14" s="33">
        <f>MIN(($A14+(Assumptions!$B$56+'Capex Budget'!$B$14)*(1+Assumptions!$B$60))*Assumptions!$B$88,('Annual Model'!C51)/Assumptions!$B$89,('Annual Model'!C51)/(Assumptions!$B$90*Assumptions!$B$91))</f>
        <v/>
      </c>
      <c r="D14" s="33">
        <f>$A14+(Assumptions!$B$56+'Capex Budget'!$B$14)*(1+Assumptions!$B$60)+$A14*Assumptions!$B$11+C14*Assumptions!$B$92+Assumptions!$B$93-C14</f>
        <v/>
      </c>
      <c r="E14" s="33">
        <f>-D14</f>
        <v/>
      </c>
      <c r="F14" s="33">
        <f>'Annual Model'!C60-C14*Assumptions!$B$91</f>
        <v/>
      </c>
      <c r="G14" s="33">
        <f>'Annual Model'!D60-C14*Assumptions!$B$91</f>
        <v/>
      </c>
      <c r="H14" s="33">
        <f>'Annual Model'!E60-C14*Assumptions!$B$91</f>
        <v/>
      </c>
      <c r="I14" s="33">
        <f>'Annual Model'!F60-C14*Assumptions!$B$91</f>
        <v/>
      </c>
      <c r="J14" s="33">
        <f>'Annual Model'!G60-C14*Assumptions!$B$91+('Annual Model'!H51)/$B14*(1-Assumptions!$B$15)-C14</f>
        <v/>
      </c>
      <c r="K14" s="89">
        <f>IRR(E14:J14)</f>
        <v/>
      </c>
      <c r="L14" s="78">
        <f>SUM(F14:J14)/-E14</f>
        <v/>
      </c>
    </row>
    <row r="15">
      <c r="A15" s="44" t="n">
        <v>11000000</v>
      </c>
      <c r="B15" s="88" t="n">
        <v>0.07000000000000001</v>
      </c>
      <c r="C15" s="33">
        <f>MIN(($A15+(Assumptions!$B$56+'Capex Budget'!$B$14)*(1+Assumptions!$B$60))*Assumptions!$B$88,('Annual Model'!C51)/Assumptions!$B$89,('Annual Model'!C51)/(Assumptions!$B$90*Assumptions!$B$91))</f>
        <v/>
      </c>
      <c r="D15" s="33">
        <f>$A15+(Assumptions!$B$56+'Capex Budget'!$B$14)*(1+Assumptions!$B$60)+$A15*Assumptions!$B$11+C15*Assumptions!$B$92+Assumptions!$B$93-C15</f>
        <v/>
      </c>
      <c r="E15" s="33">
        <f>-D15</f>
        <v/>
      </c>
      <c r="F15" s="33">
        <f>'Annual Model'!C60-C15*Assumptions!$B$91</f>
        <v/>
      </c>
      <c r="G15" s="33">
        <f>'Annual Model'!D60-C15*Assumptions!$B$91</f>
        <v/>
      </c>
      <c r="H15" s="33">
        <f>'Annual Model'!E60-C15*Assumptions!$B$91</f>
        <v/>
      </c>
      <c r="I15" s="33">
        <f>'Annual Model'!F60-C15*Assumptions!$B$91</f>
        <v/>
      </c>
      <c r="J15" s="33">
        <f>'Annual Model'!G60-C15*Assumptions!$B$91+('Annual Model'!H51)/$B15*(1-Assumptions!$B$15)-C15</f>
        <v/>
      </c>
      <c r="K15" s="89">
        <f>IRR(E15:J15)</f>
        <v/>
      </c>
      <c r="L15" s="78">
        <f>SUM(F15:J15)/-E15</f>
        <v/>
      </c>
    </row>
    <row r="16">
      <c r="A16" s="44" t="n">
        <v>11000000</v>
      </c>
      <c r="B16" s="88" t="n">
        <v>0.075</v>
      </c>
      <c r="C16" s="33">
        <f>MIN(($A16+(Assumptions!$B$56+'Capex Budget'!$B$14)*(1+Assumptions!$B$60))*Assumptions!$B$88,('Annual Model'!C51)/Assumptions!$B$89,('Annual Model'!C51)/(Assumptions!$B$90*Assumptions!$B$91))</f>
        <v/>
      </c>
      <c r="D16" s="33">
        <f>$A16+(Assumptions!$B$56+'Capex Budget'!$B$14)*(1+Assumptions!$B$60)+$A16*Assumptions!$B$11+C16*Assumptions!$B$92+Assumptions!$B$93-C16</f>
        <v/>
      </c>
      <c r="E16" s="33">
        <f>-D16</f>
        <v/>
      </c>
      <c r="F16" s="33">
        <f>'Annual Model'!C60-C16*Assumptions!$B$91</f>
        <v/>
      </c>
      <c r="G16" s="33">
        <f>'Annual Model'!D60-C16*Assumptions!$B$91</f>
        <v/>
      </c>
      <c r="H16" s="33">
        <f>'Annual Model'!E60-C16*Assumptions!$B$91</f>
        <v/>
      </c>
      <c r="I16" s="33">
        <f>'Annual Model'!F60-C16*Assumptions!$B$91</f>
        <v/>
      </c>
      <c r="J16" s="33">
        <f>'Annual Model'!G60-C16*Assumptions!$B$91+('Annual Model'!H51)/$B16*(1-Assumptions!$B$15)-C16</f>
        <v/>
      </c>
      <c r="K16" s="89">
        <f>IRR(E16:J16)</f>
        <v/>
      </c>
      <c r="L16" s="78">
        <f>SUM(F16:J16)/-E16</f>
        <v/>
      </c>
    </row>
    <row r="17">
      <c r="A17" s="44" t="n">
        <v>11500000</v>
      </c>
      <c r="B17" s="88" t="n">
        <v>0.06</v>
      </c>
      <c r="C17" s="33">
        <f>MIN(($A17+(Assumptions!$B$56+'Capex Budget'!$B$14)*(1+Assumptions!$B$60))*Assumptions!$B$88,('Annual Model'!C51)/Assumptions!$B$89,('Annual Model'!C51)/(Assumptions!$B$90*Assumptions!$B$91))</f>
        <v/>
      </c>
      <c r="D17" s="33">
        <f>$A17+(Assumptions!$B$56+'Capex Budget'!$B$14)*(1+Assumptions!$B$60)+$A17*Assumptions!$B$11+C17*Assumptions!$B$92+Assumptions!$B$93-C17</f>
        <v/>
      </c>
      <c r="E17" s="33">
        <f>-D17</f>
        <v/>
      </c>
      <c r="F17" s="33">
        <f>'Annual Model'!C60-C17*Assumptions!$B$91</f>
        <v/>
      </c>
      <c r="G17" s="33">
        <f>'Annual Model'!D60-C17*Assumptions!$B$91</f>
        <v/>
      </c>
      <c r="H17" s="33">
        <f>'Annual Model'!E60-C17*Assumptions!$B$91</f>
        <v/>
      </c>
      <c r="I17" s="33">
        <f>'Annual Model'!F60-C17*Assumptions!$B$91</f>
        <v/>
      </c>
      <c r="J17" s="33">
        <f>'Annual Model'!G60-C17*Assumptions!$B$91+('Annual Model'!H51)/$B17*(1-Assumptions!$B$15)-C17</f>
        <v/>
      </c>
      <c r="K17" s="89">
        <f>IRR(E17:J17)</f>
        <v/>
      </c>
      <c r="L17" s="78">
        <f>SUM(F17:J17)/-E17</f>
        <v/>
      </c>
    </row>
    <row r="18">
      <c r="A18" s="44" t="n">
        <v>11500000</v>
      </c>
      <c r="B18" s="88" t="n">
        <v>0.065</v>
      </c>
      <c r="C18" s="33">
        <f>MIN(($A18+(Assumptions!$B$56+'Capex Budget'!$B$14)*(1+Assumptions!$B$60))*Assumptions!$B$88,('Annual Model'!C51)/Assumptions!$B$89,('Annual Model'!C51)/(Assumptions!$B$90*Assumptions!$B$91))</f>
        <v/>
      </c>
      <c r="D18" s="33">
        <f>$A18+(Assumptions!$B$56+'Capex Budget'!$B$14)*(1+Assumptions!$B$60)+$A18*Assumptions!$B$11+C18*Assumptions!$B$92+Assumptions!$B$93-C18</f>
        <v/>
      </c>
      <c r="E18" s="33">
        <f>-D18</f>
        <v/>
      </c>
      <c r="F18" s="33">
        <f>'Annual Model'!C60-C18*Assumptions!$B$91</f>
        <v/>
      </c>
      <c r="G18" s="33">
        <f>'Annual Model'!D60-C18*Assumptions!$B$91</f>
        <v/>
      </c>
      <c r="H18" s="33">
        <f>'Annual Model'!E60-C18*Assumptions!$B$91</f>
        <v/>
      </c>
      <c r="I18" s="33">
        <f>'Annual Model'!F60-C18*Assumptions!$B$91</f>
        <v/>
      </c>
      <c r="J18" s="33">
        <f>'Annual Model'!G60-C18*Assumptions!$B$91+('Annual Model'!H51)/$B18*(1-Assumptions!$B$15)-C18</f>
        <v/>
      </c>
      <c r="K18" s="89">
        <f>IRR(E18:J18)</f>
        <v/>
      </c>
      <c r="L18" s="78">
        <f>SUM(F18:J18)/-E18</f>
        <v/>
      </c>
    </row>
    <row r="19">
      <c r="A19" s="44" t="n">
        <v>11500000</v>
      </c>
      <c r="B19" s="88" t="n">
        <v>0.0675</v>
      </c>
      <c r="C19" s="33">
        <f>MIN(($A19+(Assumptions!$B$56+'Capex Budget'!$B$14)*(1+Assumptions!$B$60))*Assumptions!$B$88,('Annual Model'!C51)/Assumptions!$B$89,('Annual Model'!C51)/(Assumptions!$B$90*Assumptions!$B$91))</f>
        <v/>
      </c>
      <c r="D19" s="33">
        <f>$A19+(Assumptions!$B$56+'Capex Budget'!$B$14)*(1+Assumptions!$B$60)+$A19*Assumptions!$B$11+C19*Assumptions!$B$92+Assumptions!$B$93-C19</f>
        <v/>
      </c>
      <c r="E19" s="33">
        <f>-D19</f>
        <v/>
      </c>
      <c r="F19" s="33">
        <f>'Annual Model'!C60-C19*Assumptions!$B$91</f>
        <v/>
      </c>
      <c r="G19" s="33">
        <f>'Annual Model'!D60-C19*Assumptions!$B$91</f>
        <v/>
      </c>
      <c r="H19" s="33">
        <f>'Annual Model'!E60-C19*Assumptions!$B$91</f>
        <v/>
      </c>
      <c r="I19" s="33">
        <f>'Annual Model'!F60-C19*Assumptions!$B$91</f>
        <v/>
      </c>
      <c r="J19" s="33">
        <f>'Annual Model'!G60-C19*Assumptions!$B$91+('Annual Model'!H51)/$B19*(1-Assumptions!$B$15)-C19</f>
        <v/>
      </c>
      <c r="K19" s="89">
        <f>IRR(E19:J19)</f>
        <v/>
      </c>
      <c r="L19" s="78">
        <f>SUM(F19:J19)/-E19</f>
        <v/>
      </c>
    </row>
    <row r="20">
      <c r="A20" s="44" t="n">
        <v>11500000</v>
      </c>
      <c r="B20" s="88" t="n">
        <v>0.07000000000000001</v>
      </c>
      <c r="C20" s="33">
        <f>MIN(($A20+(Assumptions!$B$56+'Capex Budget'!$B$14)*(1+Assumptions!$B$60))*Assumptions!$B$88,('Annual Model'!C51)/Assumptions!$B$89,('Annual Model'!C51)/(Assumptions!$B$90*Assumptions!$B$91))</f>
        <v/>
      </c>
      <c r="D20" s="33">
        <f>$A20+(Assumptions!$B$56+'Capex Budget'!$B$14)*(1+Assumptions!$B$60)+$A20*Assumptions!$B$11+C20*Assumptions!$B$92+Assumptions!$B$93-C20</f>
        <v/>
      </c>
      <c r="E20" s="33">
        <f>-D20</f>
        <v/>
      </c>
      <c r="F20" s="33">
        <f>'Annual Model'!C60-C20*Assumptions!$B$91</f>
        <v/>
      </c>
      <c r="G20" s="33">
        <f>'Annual Model'!D60-C20*Assumptions!$B$91</f>
        <v/>
      </c>
      <c r="H20" s="33">
        <f>'Annual Model'!E60-C20*Assumptions!$B$91</f>
        <v/>
      </c>
      <c r="I20" s="33">
        <f>'Annual Model'!F60-C20*Assumptions!$B$91</f>
        <v/>
      </c>
      <c r="J20" s="33">
        <f>'Annual Model'!G60-C20*Assumptions!$B$91+('Annual Model'!H51)/$B20*(1-Assumptions!$B$15)-C20</f>
        <v/>
      </c>
      <c r="K20" s="89">
        <f>IRR(E20:J20)</f>
        <v/>
      </c>
      <c r="L20" s="78">
        <f>SUM(F20:J20)/-E20</f>
        <v/>
      </c>
    </row>
    <row r="21">
      <c r="A21" s="44" t="n">
        <v>11500000</v>
      </c>
      <c r="B21" s="88" t="n">
        <v>0.075</v>
      </c>
      <c r="C21" s="33">
        <f>MIN(($A21+(Assumptions!$B$56+'Capex Budget'!$B$14)*(1+Assumptions!$B$60))*Assumptions!$B$88,('Annual Model'!C51)/Assumptions!$B$89,('Annual Model'!C51)/(Assumptions!$B$90*Assumptions!$B$91))</f>
        <v/>
      </c>
      <c r="D21" s="33">
        <f>$A21+(Assumptions!$B$56+'Capex Budget'!$B$14)*(1+Assumptions!$B$60)+$A21*Assumptions!$B$11+C21*Assumptions!$B$92+Assumptions!$B$93-C21</f>
        <v/>
      </c>
      <c r="E21" s="33">
        <f>-D21</f>
        <v/>
      </c>
      <c r="F21" s="33">
        <f>'Annual Model'!C60-C21*Assumptions!$B$91</f>
        <v/>
      </c>
      <c r="G21" s="33">
        <f>'Annual Model'!D60-C21*Assumptions!$B$91</f>
        <v/>
      </c>
      <c r="H21" s="33">
        <f>'Annual Model'!E60-C21*Assumptions!$B$91</f>
        <v/>
      </c>
      <c r="I21" s="33">
        <f>'Annual Model'!F60-C21*Assumptions!$B$91</f>
        <v/>
      </c>
      <c r="J21" s="33">
        <f>'Annual Model'!G60-C21*Assumptions!$B$91+('Annual Model'!H51)/$B21*(1-Assumptions!$B$15)-C21</f>
        <v/>
      </c>
      <c r="K21" s="89">
        <f>IRR(E21:J21)</f>
        <v/>
      </c>
      <c r="L21" s="78">
        <f>SUM(F21:J21)/-E21</f>
        <v/>
      </c>
    </row>
    <row r="22">
      <c r="A22" s="44" t="n">
        <v>12000000</v>
      </c>
      <c r="B22" s="88" t="n">
        <v>0.06</v>
      </c>
      <c r="C22" s="33">
        <f>MIN(($A22+(Assumptions!$B$56+'Capex Budget'!$B$14)*(1+Assumptions!$B$60))*Assumptions!$B$88,('Annual Model'!C51)/Assumptions!$B$89,('Annual Model'!C51)/(Assumptions!$B$90*Assumptions!$B$91))</f>
        <v/>
      </c>
      <c r="D22" s="33">
        <f>$A22+(Assumptions!$B$56+'Capex Budget'!$B$14)*(1+Assumptions!$B$60)+$A22*Assumptions!$B$11+C22*Assumptions!$B$92+Assumptions!$B$93-C22</f>
        <v/>
      </c>
      <c r="E22" s="33">
        <f>-D22</f>
        <v/>
      </c>
      <c r="F22" s="33">
        <f>'Annual Model'!C60-C22*Assumptions!$B$91</f>
        <v/>
      </c>
      <c r="G22" s="33">
        <f>'Annual Model'!D60-C22*Assumptions!$B$91</f>
        <v/>
      </c>
      <c r="H22" s="33">
        <f>'Annual Model'!E60-C22*Assumptions!$B$91</f>
        <v/>
      </c>
      <c r="I22" s="33">
        <f>'Annual Model'!F60-C22*Assumptions!$B$91</f>
        <v/>
      </c>
      <c r="J22" s="33">
        <f>'Annual Model'!G60-C22*Assumptions!$B$91+('Annual Model'!H51)/$B22*(1-Assumptions!$B$15)-C22</f>
        <v/>
      </c>
      <c r="K22" s="89">
        <f>IRR(E22:J22)</f>
        <v/>
      </c>
      <c r="L22" s="78">
        <f>SUM(F22:J22)/-E22</f>
        <v/>
      </c>
    </row>
    <row r="23">
      <c r="A23" s="44" t="n">
        <v>12000000</v>
      </c>
      <c r="B23" s="88" t="n">
        <v>0.065</v>
      </c>
      <c r="C23" s="33">
        <f>MIN(($A23+(Assumptions!$B$56+'Capex Budget'!$B$14)*(1+Assumptions!$B$60))*Assumptions!$B$88,('Annual Model'!C51)/Assumptions!$B$89,('Annual Model'!C51)/(Assumptions!$B$90*Assumptions!$B$91))</f>
        <v/>
      </c>
      <c r="D23" s="33">
        <f>$A23+(Assumptions!$B$56+'Capex Budget'!$B$14)*(1+Assumptions!$B$60)+$A23*Assumptions!$B$11+C23*Assumptions!$B$92+Assumptions!$B$93-C23</f>
        <v/>
      </c>
      <c r="E23" s="33">
        <f>-D23</f>
        <v/>
      </c>
      <c r="F23" s="33">
        <f>'Annual Model'!C60-C23*Assumptions!$B$91</f>
        <v/>
      </c>
      <c r="G23" s="33">
        <f>'Annual Model'!D60-C23*Assumptions!$B$91</f>
        <v/>
      </c>
      <c r="H23" s="33">
        <f>'Annual Model'!E60-C23*Assumptions!$B$91</f>
        <v/>
      </c>
      <c r="I23" s="33">
        <f>'Annual Model'!F60-C23*Assumptions!$B$91</f>
        <v/>
      </c>
      <c r="J23" s="33">
        <f>'Annual Model'!G60-C23*Assumptions!$B$91+('Annual Model'!H51)/$B23*(1-Assumptions!$B$15)-C23</f>
        <v/>
      </c>
      <c r="K23" s="89">
        <f>IRR(E23:J23)</f>
        <v/>
      </c>
      <c r="L23" s="78">
        <f>SUM(F23:J23)/-E23</f>
        <v/>
      </c>
    </row>
    <row r="24">
      <c r="A24" s="44" t="n">
        <v>12000000</v>
      </c>
      <c r="B24" s="88" t="n">
        <v>0.0675</v>
      </c>
      <c r="C24" s="33">
        <f>MIN(($A24+(Assumptions!$B$56+'Capex Budget'!$B$14)*(1+Assumptions!$B$60))*Assumptions!$B$88,('Annual Model'!C51)/Assumptions!$B$89,('Annual Model'!C51)/(Assumptions!$B$90*Assumptions!$B$91))</f>
        <v/>
      </c>
      <c r="D24" s="33">
        <f>$A24+(Assumptions!$B$56+'Capex Budget'!$B$14)*(1+Assumptions!$B$60)+$A24*Assumptions!$B$11+C24*Assumptions!$B$92+Assumptions!$B$93-C24</f>
        <v/>
      </c>
      <c r="E24" s="33">
        <f>-D24</f>
        <v/>
      </c>
      <c r="F24" s="33">
        <f>'Annual Model'!C60-C24*Assumptions!$B$91</f>
        <v/>
      </c>
      <c r="G24" s="33">
        <f>'Annual Model'!D60-C24*Assumptions!$B$91</f>
        <v/>
      </c>
      <c r="H24" s="33">
        <f>'Annual Model'!E60-C24*Assumptions!$B$91</f>
        <v/>
      </c>
      <c r="I24" s="33">
        <f>'Annual Model'!F60-C24*Assumptions!$B$91</f>
        <v/>
      </c>
      <c r="J24" s="33">
        <f>'Annual Model'!G60-C24*Assumptions!$B$91+('Annual Model'!H51)/$B24*(1-Assumptions!$B$15)-C24</f>
        <v/>
      </c>
      <c r="K24" s="89">
        <f>IRR(E24:J24)</f>
        <v/>
      </c>
      <c r="L24" s="78">
        <f>SUM(F24:J24)/-E24</f>
        <v/>
      </c>
    </row>
    <row r="25">
      <c r="A25" s="44" t="n">
        <v>12000000</v>
      </c>
      <c r="B25" s="88" t="n">
        <v>0.07000000000000001</v>
      </c>
      <c r="C25" s="33">
        <f>MIN(($A25+(Assumptions!$B$56+'Capex Budget'!$B$14)*(1+Assumptions!$B$60))*Assumptions!$B$88,('Annual Model'!C51)/Assumptions!$B$89,('Annual Model'!C51)/(Assumptions!$B$90*Assumptions!$B$91))</f>
        <v/>
      </c>
      <c r="D25" s="33">
        <f>$A25+(Assumptions!$B$56+'Capex Budget'!$B$14)*(1+Assumptions!$B$60)+$A25*Assumptions!$B$11+C25*Assumptions!$B$92+Assumptions!$B$93-C25</f>
        <v/>
      </c>
      <c r="E25" s="33">
        <f>-D25</f>
        <v/>
      </c>
      <c r="F25" s="33">
        <f>'Annual Model'!C60-C25*Assumptions!$B$91</f>
        <v/>
      </c>
      <c r="G25" s="33">
        <f>'Annual Model'!D60-C25*Assumptions!$B$91</f>
        <v/>
      </c>
      <c r="H25" s="33">
        <f>'Annual Model'!E60-C25*Assumptions!$B$91</f>
        <v/>
      </c>
      <c r="I25" s="33">
        <f>'Annual Model'!F60-C25*Assumptions!$B$91</f>
        <v/>
      </c>
      <c r="J25" s="33">
        <f>'Annual Model'!G60-C25*Assumptions!$B$91+('Annual Model'!H51)/$B25*(1-Assumptions!$B$15)-C25</f>
        <v/>
      </c>
      <c r="K25" s="89">
        <f>IRR(E25:J25)</f>
        <v/>
      </c>
      <c r="L25" s="78">
        <f>SUM(F25:J25)/-E25</f>
        <v/>
      </c>
    </row>
    <row r="26">
      <c r="A26" s="44" t="n">
        <v>12000000</v>
      </c>
      <c r="B26" s="88" t="n">
        <v>0.075</v>
      </c>
      <c r="C26" s="33">
        <f>MIN(($A26+(Assumptions!$B$56+'Capex Budget'!$B$14)*(1+Assumptions!$B$60))*Assumptions!$B$88,('Annual Model'!C51)/Assumptions!$B$89,('Annual Model'!C51)/(Assumptions!$B$90*Assumptions!$B$91))</f>
        <v/>
      </c>
      <c r="D26" s="33">
        <f>$A26+(Assumptions!$B$56+'Capex Budget'!$B$14)*(1+Assumptions!$B$60)+$A26*Assumptions!$B$11+C26*Assumptions!$B$92+Assumptions!$B$93-C26</f>
        <v/>
      </c>
      <c r="E26" s="33">
        <f>-D26</f>
        <v/>
      </c>
      <c r="F26" s="33">
        <f>'Annual Model'!C60-C26*Assumptions!$B$91</f>
        <v/>
      </c>
      <c r="G26" s="33">
        <f>'Annual Model'!D60-C26*Assumptions!$B$91</f>
        <v/>
      </c>
      <c r="H26" s="33">
        <f>'Annual Model'!E60-C26*Assumptions!$B$91</f>
        <v/>
      </c>
      <c r="I26" s="33">
        <f>'Annual Model'!F60-C26*Assumptions!$B$91</f>
        <v/>
      </c>
      <c r="J26" s="33">
        <f>'Annual Model'!G60-C26*Assumptions!$B$91+('Annual Model'!H51)/$B26*(1-Assumptions!$B$15)-C26</f>
        <v/>
      </c>
      <c r="K26" s="89">
        <f>IRR(E26:J26)</f>
        <v/>
      </c>
      <c r="L26" s="78">
        <f>SUM(F26:J26)/-E26</f>
        <v/>
      </c>
    </row>
    <row r="27">
      <c r="A27" s="44" t="n">
        <v>12500000</v>
      </c>
      <c r="B27" s="88" t="n">
        <v>0.06</v>
      </c>
      <c r="C27" s="33">
        <f>MIN(($A27+(Assumptions!$B$56+'Capex Budget'!$B$14)*(1+Assumptions!$B$60))*Assumptions!$B$88,('Annual Model'!C51)/Assumptions!$B$89,('Annual Model'!C51)/(Assumptions!$B$90*Assumptions!$B$91))</f>
        <v/>
      </c>
      <c r="D27" s="33">
        <f>$A27+(Assumptions!$B$56+'Capex Budget'!$B$14)*(1+Assumptions!$B$60)+$A27*Assumptions!$B$11+C27*Assumptions!$B$92+Assumptions!$B$93-C27</f>
        <v/>
      </c>
      <c r="E27" s="33">
        <f>-D27</f>
        <v/>
      </c>
      <c r="F27" s="33">
        <f>'Annual Model'!C60-C27*Assumptions!$B$91</f>
        <v/>
      </c>
      <c r="G27" s="33">
        <f>'Annual Model'!D60-C27*Assumptions!$B$91</f>
        <v/>
      </c>
      <c r="H27" s="33">
        <f>'Annual Model'!E60-C27*Assumptions!$B$91</f>
        <v/>
      </c>
      <c r="I27" s="33">
        <f>'Annual Model'!F60-C27*Assumptions!$B$91</f>
        <v/>
      </c>
      <c r="J27" s="33">
        <f>'Annual Model'!G60-C27*Assumptions!$B$91+('Annual Model'!H51)/$B27*(1-Assumptions!$B$15)-C27</f>
        <v/>
      </c>
      <c r="K27" s="89">
        <f>IRR(E27:J27)</f>
        <v/>
      </c>
      <c r="L27" s="78">
        <f>SUM(F27:J27)/-E27</f>
        <v/>
      </c>
    </row>
    <row r="28">
      <c r="A28" s="44" t="n">
        <v>12500000</v>
      </c>
      <c r="B28" s="88" t="n">
        <v>0.065</v>
      </c>
      <c r="C28" s="33">
        <f>MIN(($A28+(Assumptions!$B$56+'Capex Budget'!$B$14)*(1+Assumptions!$B$60))*Assumptions!$B$88,('Annual Model'!C51)/Assumptions!$B$89,('Annual Model'!C51)/(Assumptions!$B$90*Assumptions!$B$91))</f>
        <v/>
      </c>
      <c r="D28" s="33">
        <f>$A28+(Assumptions!$B$56+'Capex Budget'!$B$14)*(1+Assumptions!$B$60)+$A28*Assumptions!$B$11+C28*Assumptions!$B$92+Assumptions!$B$93-C28</f>
        <v/>
      </c>
      <c r="E28" s="33">
        <f>-D28</f>
        <v/>
      </c>
      <c r="F28" s="33">
        <f>'Annual Model'!C60-C28*Assumptions!$B$91</f>
        <v/>
      </c>
      <c r="G28" s="33">
        <f>'Annual Model'!D60-C28*Assumptions!$B$91</f>
        <v/>
      </c>
      <c r="H28" s="33">
        <f>'Annual Model'!E60-C28*Assumptions!$B$91</f>
        <v/>
      </c>
      <c r="I28" s="33">
        <f>'Annual Model'!F60-C28*Assumptions!$B$91</f>
        <v/>
      </c>
      <c r="J28" s="33">
        <f>'Annual Model'!G60-C28*Assumptions!$B$91+('Annual Model'!H51)/$B28*(1-Assumptions!$B$15)-C28</f>
        <v/>
      </c>
      <c r="K28" s="89">
        <f>IRR(E28:J28)</f>
        <v/>
      </c>
      <c r="L28" s="78">
        <f>SUM(F28:J28)/-E28</f>
        <v/>
      </c>
    </row>
    <row r="29">
      <c r="A29" s="44" t="n">
        <v>12500000</v>
      </c>
      <c r="B29" s="88" t="n">
        <v>0.0675</v>
      </c>
      <c r="C29" s="33">
        <f>MIN(($A29+(Assumptions!$B$56+'Capex Budget'!$B$14)*(1+Assumptions!$B$60))*Assumptions!$B$88,('Annual Model'!C51)/Assumptions!$B$89,('Annual Model'!C51)/(Assumptions!$B$90*Assumptions!$B$91))</f>
        <v/>
      </c>
      <c r="D29" s="33">
        <f>$A29+(Assumptions!$B$56+'Capex Budget'!$B$14)*(1+Assumptions!$B$60)+$A29*Assumptions!$B$11+C29*Assumptions!$B$92+Assumptions!$B$93-C29</f>
        <v/>
      </c>
      <c r="E29" s="33">
        <f>-D29</f>
        <v/>
      </c>
      <c r="F29" s="33">
        <f>'Annual Model'!C60-C29*Assumptions!$B$91</f>
        <v/>
      </c>
      <c r="G29" s="33">
        <f>'Annual Model'!D60-C29*Assumptions!$B$91</f>
        <v/>
      </c>
      <c r="H29" s="33">
        <f>'Annual Model'!E60-C29*Assumptions!$B$91</f>
        <v/>
      </c>
      <c r="I29" s="33">
        <f>'Annual Model'!F60-C29*Assumptions!$B$91</f>
        <v/>
      </c>
      <c r="J29" s="33">
        <f>'Annual Model'!G60-C29*Assumptions!$B$91+('Annual Model'!H51)/$B29*(1-Assumptions!$B$15)-C29</f>
        <v/>
      </c>
      <c r="K29" s="89">
        <f>IRR(E29:J29)</f>
        <v/>
      </c>
      <c r="L29" s="78">
        <f>SUM(F29:J29)/-E29</f>
        <v/>
      </c>
    </row>
    <row r="30">
      <c r="A30" s="44" t="n">
        <v>12500000</v>
      </c>
      <c r="B30" s="88" t="n">
        <v>0.07000000000000001</v>
      </c>
      <c r="C30" s="33">
        <f>MIN(($A30+(Assumptions!$B$56+'Capex Budget'!$B$14)*(1+Assumptions!$B$60))*Assumptions!$B$88,('Annual Model'!C51)/Assumptions!$B$89,('Annual Model'!C51)/(Assumptions!$B$90*Assumptions!$B$91))</f>
        <v/>
      </c>
      <c r="D30" s="33">
        <f>$A30+(Assumptions!$B$56+'Capex Budget'!$B$14)*(1+Assumptions!$B$60)+$A30*Assumptions!$B$11+C30*Assumptions!$B$92+Assumptions!$B$93-C30</f>
        <v/>
      </c>
      <c r="E30" s="33">
        <f>-D30</f>
        <v/>
      </c>
      <c r="F30" s="33">
        <f>'Annual Model'!C60-C30*Assumptions!$B$91</f>
        <v/>
      </c>
      <c r="G30" s="33">
        <f>'Annual Model'!D60-C30*Assumptions!$B$91</f>
        <v/>
      </c>
      <c r="H30" s="33">
        <f>'Annual Model'!E60-C30*Assumptions!$B$91</f>
        <v/>
      </c>
      <c r="I30" s="33">
        <f>'Annual Model'!F60-C30*Assumptions!$B$91</f>
        <v/>
      </c>
      <c r="J30" s="33">
        <f>'Annual Model'!G60-C30*Assumptions!$B$91+('Annual Model'!H51)/$B30*(1-Assumptions!$B$15)-C30</f>
        <v/>
      </c>
      <c r="K30" s="89">
        <f>IRR(E30:J30)</f>
        <v/>
      </c>
      <c r="L30" s="78">
        <f>SUM(F30:J30)/-E30</f>
        <v/>
      </c>
    </row>
    <row r="31">
      <c r="A31" s="44" t="n">
        <v>12500000</v>
      </c>
      <c r="B31" s="88" t="n">
        <v>0.075</v>
      </c>
      <c r="C31" s="33">
        <f>MIN(($A31+(Assumptions!$B$56+'Capex Budget'!$B$14)*(1+Assumptions!$B$60))*Assumptions!$B$88,('Annual Model'!C51)/Assumptions!$B$89,('Annual Model'!C51)/(Assumptions!$B$90*Assumptions!$B$91))</f>
        <v/>
      </c>
      <c r="D31" s="33">
        <f>$A31+(Assumptions!$B$56+'Capex Budget'!$B$14)*(1+Assumptions!$B$60)+$A31*Assumptions!$B$11+C31*Assumptions!$B$92+Assumptions!$B$93-C31</f>
        <v/>
      </c>
      <c r="E31" s="33">
        <f>-D31</f>
        <v/>
      </c>
      <c r="F31" s="33">
        <f>'Annual Model'!C60-C31*Assumptions!$B$91</f>
        <v/>
      </c>
      <c r="G31" s="33">
        <f>'Annual Model'!D60-C31*Assumptions!$B$91</f>
        <v/>
      </c>
      <c r="H31" s="33">
        <f>'Annual Model'!E60-C31*Assumptions!$B$91</f>
        <v/>
      </c>
      <c r="I31" s="33">
        <f>'Annual Model'!F60-C31*Assumptions!$B$91</f>
        <v/>
      </c>
      <c r="J31" s="33">
        <f>'Annual Model'!G60-C31*Assumptions!$B$91+('Annual Model'!H51)/$B31*(1-Assumptions!$B$15)-C31</f>
        <v/>
      </c>
      <c r="K31" s="89">
        <f>IRR(E31:J31)</f>
        <v/>
      </c>
      <c r="L31" s="78">
        <f>SUM(F31:J31)/-E31</f>
        <v/>
      </c>
    </row>
    <row r="32">
      <c r="A32" s="44" t="n">
        <v>13625000</v>
      </c>
      <c r="B32" s="88" t="n">
        <v>0.06</v>
      </c>
      <c r="C32" s="33">
        <f>MIN(($A32+(Assumptions!$B$56+'Capex Budget'!$B$14)*(1+Assumptions!$B$60))*Assumptions!$B$88,('Annual Model'!C51)/Assumptions!$B$89,('Annual Model'!C51)/(Assumptions!$B$90*Assumptions!$B$91))</f>
        <v/>
      </c>
      <c r="D32" s="33">
        <f>$A32+(Assumptions!$B$56+'Capex Budget'!$B$14)*(1+Assumptions!$B$60)+$A32*Assumptions!$B$11+C32*Assumptions!$B$92+Assumptions!$B$93-C32</f>
        <v/>
      </c>
      <c r="E32" s="33">
        <f>-D32</f>
        <v/>
      </c>
      <c r="F32" s="33">
        <f>'Annual Model'!C60-C32*Assumptions!$B$91</f>
        <v/>
      </c>
      <c r="G32" s="33">
        <f>'Annual Model'!D60-C32*Assumptions!$B$91</f>
        <v/>
      </c>
      <c r="H32" s="33">
        <f>'Annual Model'!E60-C32*Assumptions!$B$91</f>
        <v/>
      </c>
      <c r="I32" s="33">
        <f>'Annual Model'!F60-C32*Assumptions!$B$91</f>
        <v/>
      </c>
      <c r="J32" s="33">
        <f>'Annual Model'!G60-C32*Assumptions!$B$91+('Annual Model'!H51)/$B32*(1-Assumptions!$B$15)-C32</f>
        <v/>
      </c>
      <c r="K32" s="89">
        <f>IRR(E32:J32)</f>
        <v/>
      </c>
      <c r="L32" s="78">
        <f>SUM(F32:J32)/-E32</f>
        <v/>
      </c>
    </row>
    <row r="33">
      <c r="A33" s="44" t="n">
        <v>13625000</v>
      </c>
      <c r="B33" s="88" t="n">
        <v>0.065</v>
      </c>
      <c r="C33" s="33">
        <f>MIN(($A33+(Assumptions!$B$56+'Capex Budget'!$B$14)*(1+Assumptions!$B$60))*Assumptions!$B$88,('Annual Model'!C51)/Assumptions!$B$89,('Annual Model'!C51)/(Assumptions!$B$90*Assumptions!$B$91))</f>
        <v/>
      </c>
      <c r="D33" s="33">
        <f>$A33+(Assumptions!$B$56+'Capex Budget'!$B$14)*(1+Assumptions!$B$60)+$A33*Assumptions!$B$11+C33*Assumptions!$B$92+Assumptions!$B$93-C33</f>
        <v/>
      </c>
      <c r="E33" s="33">
        <f>-D33</f>
        <v/>
      </c>
      <c r="F33" s="33">
        <f>'Annual Model'!C60-C33*Assumptions!$B$91</f>
        <v/>
      </c>
      <c r="G33" s="33">
        <f>'Annual Model'!D60-C33*Assumptions!$B$91</f>
        <v/>
      </c>
      <c r="H33" s="33">
        <f>'Annual Model'!E60-C33*Assumptions!$B$91</f>
        <v/>
      </c>
      <c r="I33" s="33">
        <f>'Annual Model'!F60-C33*Assumptions!$B$91</f>
        <v/>
      </c>
      <c r="J33" s="33">
        <f>'Annual Model'!G60-C33*Assumptions!$B$91+('Annual Model'!H51)/$B33*(1-Assumptions!$B$15)-C33</f>
        <v/>
      </c>
      <c r="K33" s="89">
        <f>IRR(E33:J33)</f>
        <v/>
      </c>
      <c r="L33" s="78">
        <f>SUM(F33:J33)/-E33</f>
        <v/>
      </c>
    </row>
    <row r="34">
      <c r="A34" s="44" t="n">
        <v>13625000</v>
      </c>
      <c r="B34" s="88" t="n">
        <v>0.0675</v>
      </c>
      <c r="C34" s="33">
        <f>MIN(($A34+(Assumptions!$B$56+'Capex Budget'!$B$14)*(1+Assumptions!$B$60))*Assumptions!$B$88,('Annual Model'!C51)/Assumptions!$B$89,('Annual Model'!C51)/(Assumptions!$B$90*Assumptions!$B$91))</f>
        <v/>
      </c>
      <c r="D34" s="33">
        <f>$A34+(Assumptions!$B$56+'Capex Budget'!$B$14)*(1+Assumptions!$B$60)+$A34*Assumptions!$B$11+C34*Assumptions!$B$92+Assumptions!$B$93-C34</f>
        <v/>
      </c>
      <c r="E34" s="33">
        <f>-D34</f>
        <v/>
      </c>
      <c r="F34" s="33">
        <f>'Annual Model'!C60-C34*Assumptions!$B$91</f>
        <v/>
      </c>
      <c r="G34" s="33">
        <f>'Annual Model'!D60-C34*Assumptions!$B$91</f>
        <v/>
      </c>
      <c r="H34" s="33">
        <f>'Annual Model'!E60-C34*Assumptions!$B$91</f>
        <v/>
      </c>
      <c r="I34" s="33">
        <f>'Annual Model'!F60-C34*Assumptions!$B$91</f>
        <v/>
      </c>
      <c r="J34" s="33">
        <f>'Annual Model'!G60-C34*Assumptions!$B$91+('Annual Model'!H51)/$B34*(1-Assumptions!$B$15)-C34</f>
        <v/>
      </c>
      <c r="K34" s="89">
        <f>IRR(E34:J34)</f>
        <v/>
      </c>
      <c r="L34" s="78">
        <f>SUM(F34:J34)/-E34</f>
        <v/>
      </c>
    </row>
    <row r="35">
      <c r="A35" s="44" t="n">
        <v>13625000</v>
      </c>
      <c r="B35" s="88" t="n">
        <v>0.07000000000000001</v>
      </c>
      <c r="C35" s="33">
        <f>MIN(($A35+(Assumptions!$B$56+'Capex Budget'!$B$14)*(1+Assumptions!$B$60))*Assumptions!$B$88,('Annual Model'!C51)/Assumptions!$B$89,('Annual Model'!C51)/(Assumptions!$B$90*Assumptions!$B$91))</f>
        <v/>
      </c>
      <c r="D35" s="33">
        <f>$A35+(Assumptions!$B$56+'Capex Budget'!$B$14)*(1+Assumptions!$B$60)+$A35*Assumptions!$B$11+C35*Assumptions!$B$92+Assumptions!$B$93-C35</f>
        <v/>
      </c>
      <c r="E35" s="33">
        <f>-D35</f>
        <v/>
      </c>
      <c r="F35" s="33">
        <f>'Annual Model'!C60-C35*Assumptions!$B$91</f>
        <v/>
      </c>
      <c r="G35" s="33">
        <f>'Annual Model'!D60-C35*Assumptions!$B$91</f>
        <v/>
      </c>
      <c r="H35" s="33">
        <f>'Annual Model'!E60-C35*Assumptions!$B$91</f>
        <v/>
      </c>
      <c r="I35" s="33">
        <f>'Annual Model'!F60-C35*Assumptions!$B$91</f>
        <v/>
      </c>
      <c r="J35" s="33">
        <f>'Annual Model'!G60-C35*Assumptions!$B$91+('Annual Model'!H51)/$B35*(1-Assumptions!$B$15)-C35</f>
        <v/>
      </c>
      <c r="K35" s="89">
        <f>IRR(E35:J35)</f>
        <v/>
      </c>
      <c r="L35" s="78">
        <f>SUM(F35:J35)/-E35</f>
        <v/>
      </c>
    </row>
    <row r="36">
      <c r="A36" s="44" t="n">
        <v>13625000</v>
      </c>
      <c r="B36" s="88" t="n">
        <v>0.075</v>
      </c>
      <c r="C36" s="33">
        <f>MIN(($A36+(Assumptions!$B$56+'Capex Budget'!$B$14)*(1+Assumptions!$B$60))*Assumptions!$B$88,('Annual Model'!C51)/Assumptions!$B$89,('Annual Model'!C51)/(Assumptions!$B$90*Assumptions!$B$91))</f>
        <v/>
      </c>
      <c r="D36" s="33">
        <f>$A36+(Assumptions!$B$56+'Capex Budget'!$B$14)*(1+Assumptions!$B$60)+$A36*Assumptions!$B$11+C36*Assumptions!$B$92+Assumptions!$B$93-C36</f>
        <v/>
      </c>
      <c r="E36" s="33">
        <f>-D36</f>
        <v/>
      </c>
      <c r="F36" s="33">
        <f>'Annual Model'!C60-C36*Assumptions!$B$91</f>
        <v/>
      </c>
      <c r="G36" s="33">
        <f>'Annual Model'!D60-C36*Assumptions!$B$91</f>
        <v/>
      </c>
      <c r="H36" s="33">
        <f>'Annual Model'!E60-C36*Assumptions!$B$91</f>
        <v/>
      </c>
      <c r="I36" s="33">
        <f>'Annual Model'!F60-C36*Assumptions!$B$91</f>
        <v/>
      </c>
      <c r="J36" s="33">
        <f>'Annual Model'!G60-C36*Assumptions!$B$91+('Annual Model'!H51)/$B36*(1-Assumptions!$B$15)-C36</f>
        <v/>
      </c>
      <c r="K36" s="89">
        <f>IRR(E36:J36)</f>
        <v/>
      </c>
      <c r="L36" s="78">
        <f>SUM(F36:J36)/-E36</f>
        <v/>
      </c>
    </row>
    <row r="37">
      <c r="A37" s="44" t="n">
        <v>14200000</v>
      </c>
      <c r="B37" s="88" t="n">
        <v>0.06</v>
      </c>
      <c r="C37" s="33">
        <f>MIN(($A37+(Assumptions!$B$56+'Capex Budget'!$B$14)*(1+Assumptions!$B$60))*Assumptions!$B$88,('Annual Model'!C51)/Assumptions!$B$89,('Annual Model'!C51)/(Assumptions!$B$90*Assumptions!$B$91))</f>
        <v/>
      </c>
      <c r="D37" s="33">
        <f>$A37+(Assumptions!$B$56+'Capex Budget'!$B$14)*(1+Assumptions!$B$60)+$A37*Assumptions!$B$11+C37*Assumptions!$B$92+Assumptions!$B$93-C37</f>
        <v/>
      </c>
      <c r="E37" s="33">
        <f>-D37</f>
        <v/>
      </c>
      <c r="F37" s="33">
        <f>'Annual Model'!C60-C37*Assumptions!$B$91</f>
        <v/>
      </c>
      <c r="G37" s="33">
        <f>'Annual Model'!D60-C37*Assumptions!$B$91</f>
        <v/>
      </c>
      <c r="H37" s="33">
        <f>'Annual Model'!E60-C37*Assumptions!$B$91</f>
        <v/>
      </c>
      <c r="I37" s="33">
        <f>'Annual Model'!F60-C37*Assumptions!$B$91</f>
        <v/>
      </c>
      <c r="J37" s="33">
        <f>'Annual Model'!G60-C37*Assumptions!$B$91+('Annual Model'!H51)/$B37*(1-Assumptions!$B$15)-C37</f>
        <v/>
      </c>
      <c r="K37" s="89">
        <f>IRR(E37:J37)</f>
        <v/>
      </c>
      <c r="L37" s="78">
        <f>SUM(F37:J37)/-E37</f>
        <v/>
      </c>
    </row>
    <row r="38">
      <c r="A38" s="44" t="n">
        <v>14200000</v>
      </c>
      <c r="B38" s="88" t="n">
        <v>0.065</v>
      </c>
      <c r="C38" s="33">
        <f>MIN(($A38+(Assumptions!$B$56+'Capex Budget'!$B$14)*(1+Assumptions!$B$60))*Assumptions!$B$88,('Annual Model'!C51)/Assumptions!$B$89,('Annual Model'!C51)/(Assumptions!$B$90*Assumptions!$B$91))</f>
        <v/>
      </c>
      <c r="D38" s="33">
        <f>$A38+(Assumptions!$B$56+'Capex Budget'!$B$14)*(1+Assumptions!$B$60)+$A38*Assumptions!$B$11+C38*Assumptions!$B$92+Assumptions!$B$93-C38</f>
        <v/>
      </c>
      <c r="E38" s="33">
        <f>-D38</f>
        <v/>
      </c>
      <c r="F38" s="33">
        <f>'Annual Model'!C60-C38*Assumptions!$B$91</f>
        <v/>
      </c>
      <c r="G38" s="33">
        <f>'Annual Model'!D60-C38*Assumptions!$B$91</f>
        <v/>
      </c>
      <c r="H38" s="33">
        <f>'Annual Model'!E60-C38*Assumptions!$B$91</f>
        <v/>
      </c>
      <c r="I38" s="33">
        <f>'Annual Model'!F60-C38*Assumptions!$B$91</f>
        <v/>
      </c>
      <c r="J38" s="33">
        <f>'Annual Model'!G60-C38*Assumptions!$B$91+('Annual Model'!H51)/$B38*(1-Assumptions!$B$15)-C38</f>
        <v/>
      </c>
      <c r="K38" s="89">
        <f>IRR(E38:J38)</f>
        <v/>
      </c>
      <c r="L38" s="78">
        <f>SUM(F38:J38)/-E38</f>
        <v/>
      </c>
    </row>
    <row r="39">
      <c r="A39" s="44" t="n">
        <v>14200000</v>
      </c>
      <c r="B39" s="88" t="n">
        <v>0.0675</v>
      </c>
      <c r="C39" s="33">
        <f>MIN(($A39+(Assumptions!$B$56+'Capex Budget'!$B$14)*(1+Assumptions!$B$60))*Assumptions!$B$88,('Annual Model'!C51)/Assumptions!$B$89,('Annual Model'!C51)/(Assumptions!$B$90*Assumptions!$B$91))</f>
        <v/>
      </c>
      <c r="D39" s="33">
        <f>$A39+(Assumptions!$B$56+'Capex Budget'!$B$14)*(1+Assumptions!$B$60)+$A39*Assumptions!$B$11+C39*Assumptions!$B$92+Assumptions!$B$93-C39</f>
        <v/>
      </c>
      <c r="E39" s="33">
        <f>-D39</f>
        <v/>
      </c>
      <c r="F39" s="33">
        <f>'Annual Model'!C60-C39*Assumptions!$B$91</f>
        <v/>
      </c>
      <c r="G39" s="33">
        <f>'Annual Model'!D60-C39*Assumptions!$B$91</f>
        <v/>
      </c>
      <c r="H39" s="33">
        <f>'Annual Model'!E60-C39*Assumptions!$B$91</f>
        <v/>
      </c>
      <c r="I39" s="33">
        <f>'Annual Model'!F60-C39*Assumptions!$B$91</f>
        <v/>
      </c>
      <c r="J39" s="33">
        <f>'Annual Model'!G60-C39*Assumptions!$B$91+('Annual Model'!H51)/$B39*(1-Assumptions!$B$15)-C39</f>
        <v/>
      </c>
      <c r="K39" s="89">
        <f>IRR(E39:J39)</f>
        <v/>
      </c>
      <c r="L39" s="78">
        <f>SUM(F39:J39)/-E39</f>
        <v/>
      </c>
    </row>
    <row r="40">
      <c r="A40" s="44" t="n">
        <v>14200000</v>
      </c>
      <c r="B40" s="88" t="n">
        <v>0.07000000000000001</v>
      </c>
      <c r="C40" s="33">
        <f>MIN(($A40+(Assumptions!$B$56+'Capex Budget'!$B$14)*(1+Assumptions!$B$60))*Assumptions!$B$88,('Annual Model'!C51)/Assumptions!$B$89,('Annual Model'!C51)/(Assumptions!$B$90*Assumptions!$B$91))</f>
        <v/>
      </c>
      <c r="D40" s="33">
        <f>$A40+(Assumptions!$B$56+'Capex Budget'!$B$14)*(1+Assumptions!$B$60)+$A40*Assumptions!$B$11+C40*Assumptions!$B$92+Assumptions!$B$93-C40</f>
        <v/>
      </c>
      <c r="E40" s="33">
        <f>-D40</f>
        <v/>
      </c>
      <c r="F40" s="33">
        <f>'Annual Model'!C60-C40*Assumptions!$B$91</f>
        <v/>
      </c>
      <c r="G40" s="33">
        <f>'Annual Model'!D60-C40*Assumptions!$B$91</f>
        <v/>
      </c>
      <c r="H40" s="33">
        <f>'Annual Model'!E60-C40*Assumptions!$B$91</f>
        <v/>
      </c>
      <c r="I40" s="33">
        <f>'Annual Model'!F60-C40*Assumptions!$B$91</f>
        <v/>
      </c>
      <c r="J40" s="33">
        <f>'Annual Model'!G60-C40*Assumptions!$B$91+('Annual Model'!H51)/$B40*(1-Assumptions!$B$15)-C40</f>
        <v/>
      </c>
      <c r="K40" s="89">
        <f>IRR(E40:J40)</f>
        <v/>
      </c>
      <c r="L40" s="78">
        <f>SUM(F40:J40)/-E40</f>
        <v/>
      </c>
    </row>
    <row r="41">
      <c r="A41" s="44" t="n">
        <v>14200000</v>
      </c>
      <c r="B41" s="88" t="n">
        <v>0.075</v>
      </c>
      <c r="C41" s="33">
        <f>MIN(($A41+(Assumptions!$B$56+'Capex Budget'!$B$14)*(1+Assumptions!$B$60))*Assumptions!$B$88,('Annual Model'!C51)/Assumptions!$B$89,('Annual Model'!C51)/(Assumptions!$B$90*Assumptions!$B$91))</f>
        <v/>
      </c>
      <c r="D41" s="33">
        <f>$A41+(Assumptions!$B$56+'Capex Budget'!$B$14)*(1+Assumptions!$B$60)+$A41*Assumptions!$B$11+C41*Assumptions!$B$92+Assumptions!$B$93-C41</f>
        <v/>
      </c>
      <c r="E41" s="33">
        <f>-D41</f>
        <v/>
      </c>
      <c r="F41" s="33">
        <f>'Annual Model'!C60-C41*Assumptions!$B$91</f>
        <v/>
      </c>
      <c r="G41" s="33">
        <f>'Annual Model'!D60-C41*Assumptions!$B$91</f>
        <v/>
      </c>
      <c r="H41" s="33">
        <f>'Annual Model'!E60-C41*Assumptions!$B$91</f>
        <v/>
      </c>
      <c r="I41" s="33">
        <f>'Annual Model'!F60-C41*Assumptions!$B$91</f>
        <v/>
      </c>
      <c r="J41" s="33">
        <f>'Annual Model'!G60-C41*Assumptions!$B$91+('Annual Model'!H51)/$B41*(1-Assumptions!$B$15)-C41</f>
        <v/>
      </c>
      <c r="K41" s="89">
        <f>IRR(E41:J41)</f>
        <v/>
      </c>
      <c r="L41" s="78">
        <f>SUM(F41:J41)/-E41</f>
        <v/>
      </c>
    </row>
    <row r="43">
      <c r="A43" s="4" t="inlineStr">
        <is>
          <t>GRID 1A — LEVERED IRR: PURCHASE PRICE x EXIT CAP</t>
        </is>
      </c>
      <c r="B43" s="5" t="n"/>
      <c r="C43" s="5" t="n"/>
      <c r="D43" s="5" t="n"/>
      <c r="E43" s="5" t="n"/>
      <c r="F43" s="5" t="n"/>
      <c r="G43" s="5" t="n"/>
      <c r="H43" s="5" t="n"/>
    </row>
    <row r="44">
      <c r="A44" s="62" t="inlineStr">
        <is>
          <t>Purchase Price \ Exit Cap</t>
        </is>
      </c>
      <c r="B44" s="90" t="n">
        <v>0.06</v>
      </c>
      <c r="C44" s="90" t="n">
        <v>0.065</v>
      </c>
      <c r="D44" s="90" t="n">
        <v>0.0675</v>
      </c>
      <c r="E44" s="90" t="n">
        <v>0.07000000000000001</v>
      </c>
      <c r="F44" s="90" t="n">
        <v>0.075</v>
      </c>
      <c r="G44" s="28" t="inlineStr">
        <is>
          <t>Price / Unit</t>
        </is>
      </c>
      <c r="H44" s="28" t="inlineStr">
        <is>
          <t>Going-in Cap</t>
        </is>
      </c>
    </row>
    <row r="45">
      <c r="A45" s="33" t="n">
        <v>10500000</v>
      </c>
      <c r="B45" s="91">
        <f>K7</f>
        <v/>
      </c>
      <c r="C45" s="91">
        <f>K8</f>
        <v/>
      </c>
      <c r="D45" s="91">
        <f>K9</f>
        <v/>
      </c>
      <c r="E45" s="91">
        <f>K10</f>
        <v/>
      </c>
      <c r="F45" s="91">
        <f>K11</f>
        <v/>
      </c>
      <c r="G45" s="69">
        <f>A45/Assumptions!$B$19</f>
        <v/>
      </c>
      <c r="H45" s="92">
        <f>'Annual Model'!C51/A45</f>
        <v/>
      </c>
    </row>
    <row r="46">
      <c r="A46" s="33" t="n">
        <v>11000000</v>
      </c>
      <c r="B46" s="91">
        <f>K12</f>
        <v/>
      </c>
      <c r="C46" s="91">
        <f>K13</f>
        <v/>
      </c>
      <c r="D46" s="91">
        <f>K14</f>
        <v/>
      </c>
      <c r="E46" s="91">
        <f>K15</f>
        <v/>
      </c>
      <c r="F46" s="91">
        <f>K16</f>
        <v/>
      </c>
      <c r="G46" s="69">
        <f>A46/Assumptions!$B$19</f>
        <v/>
      </c>
      <c r="H46" s="92">
        <f>'Annual Model'!C51/A46</f>
        <v/>
      </c>
    </row>
    <row r="47">
      <c r="A47" s="33" t="n">
        <v>11500000</v>
      </c>
      <c r="B47" s="91">
        <f>K17</f>
        <v/>
      </c>
      <c r="C47" s="91">
        <f>K18</f>
        <v/>
      </c>
      <c r="D47" s="91">
        <f>K19</f>
        <v/>
      </c>
      <c r="E47" s="91">
        <f>K20</f>
        <v/>
      </c>
      <c r="F47" s="91">
        <f>K21</f>
        <v/>
      </c>
      <c r="G47" s="69">
        <f>A47/Assumptions!$B$19</f>
        <v/>
      </c>
      <c r="H47" s="92">
        <f>'Annual Model'!C51/A47</f>
        <v/>
      </c>
    </row>
    <row r="48">
      <c r="A48" s="33" t="n">
        <v>12000000</v>
      </c>
      <c r="B48" s="91">
        <f>K22</f>
        <v/>
      </c>
      <c r="C48" s="91">
        <f>K23</f>
        <v/>
      </c>
      <c r="D48" s="91">
        <f>K24</f>
        <v/>
      </c>
      <c r="E48" s="91">
        <f>K25</f>
        <v/>
      </c>
      <c r="F48" s="91">
        <f>K26</f>
        <v/>
      </c>
      <c r="G48" s="69">
        <f>A48/Assumptions!$B$19</f>
        <v/>
      </c>
      <c r="H48" s="92">
        <f>'Annual Model'!C51/A48</f>
        <v/>
      </c>
    </row>
    <row r="49">
      <c r="A49" s="33" t="n">
        <v>12500000</v>
      </c>
      <c r="B49" s="91">
        <f>K27</f>
        <v/>
      </c>
      <c r="C49" s="91">
        <f>K28</f>
        <v/>
      </c>
      <c r="D49" s="91">
        <f>K29</f>
        <v/>
      </c>
      <c r="E49" s="91">
        <f>K30</f>
        <v/>
      </c>
      <c r="F49" s="91">
        <f>K31</f>
        <v/>
      </c>
      <c r="G49" s="69">
        <f>A49/Assumptions!$B$19</f>
        <v/>
      </c>
      <c r="H49" s="92">
        <f>'Annual Model'!C51/A49</f>
        <v/>
      </c>
    </row>
    <row r="50">
      <c r="A50" s="33" t="n">
        <v>13625000</v>
      </c>
      <c r="B50" s="93">
        <f>K32</f>
        <v/>
      </c>
      <c r="C50" s="93">
        <f>K33</f>
        <v/>
      </c>
      <c r="D50" s="94">
        <f>K34</f>
        <v/>
      </c>
      <c r="E50" s="93">
        <f>K35</f>
        <v/>
      </c>
      <c r="F50" s="93">
        <f>K36</f>
        <v/>
      </c>
      <c r="G50" s="69">
        <f>A50/Assumptions!$B$19</f>
        <v/>
      </c>
      <c r="H50" s="92">
        <f>'Annual Model'!C51/A50</f>
        <v/>
      </c>
    </row>
    <row r="51">
      <c r="A51" s="33" t="n">
        <v>14200000</v>
      </c>
      <c r="B51" s="91">
        <f>K37</f>
        <v/>
      </c>
      <c r="C51" s="91">
        <f>K38</f>
        <v/>
      </c>
      <c r="D51" s="91">
        <f>K39</f>
        <v/>
      </c>
      <c r="E51" s="91">
        <f>K40</f>
        <v/>
      </c>
      <c r="F51" s="91">
        <f>K41</f>
        <v/>
      </c>
      <c r="G51" s="69">
        <f>A51/Assumptions!$B$19</f>
        <v/>
      </c>
      <c r="H51" s="92">
        <f>'Annual Model'!C51/A51</f>
        <v/>
      </c>
    </row>
    <row r="53" ht="34" customHeight="1">
      <c r="A53" s="12" t="inlineStr">
        <is>
          <t>The highlighted row is the price the asset actually traded at on 12 June 2026 ($13,625,000 / $115,466 per unit, Marion County deed, assessor validity flag 'Y'). Our bid is the highest price in this ladder that still clears a 14% levered IRR and a 1.80x multiple.</t>
        </is>
      </c>
    </row>
    <row r="55">
      <c r="A55" s="4" t="inlineStr">
        <is>
          <t>GRID 1B — EQUITY MULTIPLE: PURCHASE PRICE x EXIT CAP</t>
        </is>
      </c>
      <c r="B55" s="5" t="n"/>
      <c r="C55" s="5" t="n"/>
      <c r="D55" s="5" t="n"/>
      <c r="E55" s="5" t="n"/>
      <c r="F55" s="5" t="n"/>
    </row>
    <row r="56">
      <c r="A56" s="62" t="inlineStr">
        <is>
          <t>Purchase Price \ Exit Cap</t>
        </is>
      </c>
      <c r="B56" s="90" t="n">
        <v>0.06</v>
      </c>
      <c r="C56" s="90" t="n">
        <v>0.065</v>
      </c>
      <c r="D56" s="90" t="n">
        <v>0.0675</v>
      </c>
      <c r="E56" s="90" t="n">
        <v>0.07000000000000001</v>
      </c>
      <c r="F56" s="90" t="n">
        <v>0.075</v>
      </c>
    </row>
    <row r="57">
      <c r="A57" s="33" t="n">
        <v>10500000</v>
      </c>
      <c r="B57" s="95">
        <f>L7</f>
        <v/>
      </c>
      <c r="C57" s="95">
        <f>L8</f>
        <v/>
      </c>
      <c r="D57" s="95">
        <f>L9</f>
        <v/>
      </c>
      <c r="E57" s="95">
        <f>L10</f>
        <v/>
      </c>
      <c r="F57" s="95">
        <f>L11</f>
        <v/>
      </c>
    </row>
    <row r="58">
      <c r="A58" s="33" t="n">
        <v>11000000</v>
      </c>
      <c r="B58" s="95">
        <f>L12</f>
        <v/>
      </c>
      <c r="C58" s="95">
        <f>L13</f>
        <v/>
      </c>
      <c r="D58" s="95">
        <f>L14</f>
        <v/>
      </c>
      <c r="E58" s="95">
        <f>L15</f>
        <v/>
      </c>
      <c r="F58" s="95">
        <f>L16</f>
        <v/>
      </c>
    </row>
    <row r="59">
      <c r="A59" s="33" t="n">
        <v>11500000</v>
      </c>
      <c r="B59" s="95">
        <f>L17</f>
        <v/>
      </c>
      <c r="C59" s="95">
        <f>L18</f>
        <v/>
      </c>
      <c r="D59" s="95">
        <f>L19</f>
        <v/>
      </c>
      <c r="E59" s="95">
        <f>L20</f>
        <v/>
      </c>
      <c r="F59" s="95">
        <f>L21</f>
        <v/>
      </c>
    </row>
    <row r="60">
      <c r="A60" s="33" t="n">
        <v>12000000</v>
      </c>
      <c r="B60" s="95">
        <f>L22</f>
        <v/>
      </c>
      <c r="C60" s="95">
        <f>L23</f>
        <v/>
      </c>
      <c r="D60" s="95">
        <f>L24</f>
        <v/>
      </c>
      <c r="E60" s="95">
        <f>L25</f>
        <v/>
      </c>
      <c r="F60" s="95">
        <f>L26</f>
        <v/>
      </c>
    </row>
    <row r="61">
      <c r="A61" s="33" t="n">
        <v>12500000</v>
      </c>
      <c r="B61" s="95">
        <f>L27</f>
        <v/>
      </c>
      <c r="C61" s="95">
        <f>L28</f>
        <v/>
      </c>
      <c r="D61" s="95">
        <f>L29</f>
        <v/>
      </c>
      <c r="E61" s="95">
        <f>L30</f>
        <v/>
      </c>
      <c r="F61" s="95">
        <f>L31</f>
        <v/>
      </c>
    </row>
    <row r="62">
      <c r="A62" s="33" t="n">
        <v>13625000</v>
      </c>
      <c r="B62" s="95">
        <f>L32</f>
        <v/>
      </c>
      <c r="C62" s="95">
        <f>L33</f>
        <v/>
      </c>
      <c r="D62" s="95">
        <f>L34</f>
        <v/>
      </c>
      <c r="E62" s="95">
        <f>L35</f>
        <v/>
      </c>
      <c r="F62" s="95">
        <f>L36</f>
        <v/>
      </c>
    </row>
    <row r="63">
      <c r="A63" s="33" t="n">
        <v>14200000</v>
      </c>
      <c r="B63" s="95">
        <f>L37</f>
        <v/>
      </c>
      <c r="C63" s="95">
        <f>L38</f>
        <v/>
      </c>
      <c r="D63" s="95">
        <f>L39</f>
        <v/>
      </c>
      <c r="E63" s="95">
        <f>L40</f>
        <v/>
      </c>
      <c r="F63" s="95">
        <f>L41</f>
        <v/>
      </c>
    </row>
    <row r="66">
      <c r="A66" s="4" t="inlineStr">
        <is>
          <t>HELPER BLOCK 2 — FLAT MARKET RENT GROWTH x EXIT CAP</t>
        </is>
      </c>
      <c r="B66" s="5" t="n"/>
      <c r="C66" s="5" t="n"/>
      <c r="D66" s="5" t="n"/>
      <c r="E66" s="5" t="n"/>
      <c r="F66" s="5" t="n"/>
      <c r="G66" s="5" t="n"/>
      <c r="H66" s="5" t="n"/>
      <c r="I66" s="5" t="n"/>
      <c r="J66" s="5" t="n"/>
      <c r="K66" s="5" t="n"/>
      <c r="L66" s="5" t="n"/>
      <c r="M66" s="5" t="n"/>
    </row>
    <row r="67" ht="34" customHeight="1">
      <c r="A67" s="12" t="inlineStr">
        <is>
          <t>Applies a single flat growth rate in place of the 1.5 / 2.0 / 2.5 / 3.0 / 3.0 base path. Gross potential rent in year y scales by (1+g)^(y-0.5) divided by the base mid-year factor; the change flows to NOI net of loss to lease, vacancy, downtime, concessions, bad debt and the management fee.</t>
        </is>
      </c>
    </row>
    <row r="68">
      <c r="A68" s="62" t="inlineStr">
        <is>
          <t>Flat Rent Growth</t>
        </is>
      </c>
      <c r="B68" s="62" t="inlineStr">
        <is>
          <t>Exit Cap</t>
        </is>
      </c>
      <c r="C68" s="62" t="inlineStr">
        <is>
          <t>Loan</t>
        </is>
      </c>
      <c r="D68" s="62" t="inlineStr">
        <is>
          <t>Equity</t>
        </is>
      </c>
      <c r="E68" s="62" t="inlineStr">
        <is>
          <t>Year 0</t>
        </is>
      </c>
      <c r="F68" s="62" t="inlineStr">
        <is>
          <t>Year 1</t>
        </is>
      </c>
      <c r="G68" s="62" t="inlineStr">
        <is>
          <t>Year 2</t>
        </is>
      </c>
      <c r="H68" s="62" t="inlineStr">
        <is>
          <t>Year 3</t>
        </is>
      </c>
      <c r="I68" s="62" t="inlineStr">
        <is>
          <t>Year 4</t>
        </is>
      </c>
      <c r="J68" s="62" t="inlineStr">
        <is>
          <t>Year 5</t>
        </is>
      </c>
      <c r="K68" s="62" t="inlineStr">
        <is>
          <t>Levered IRR</t>
        </is>
      </c>
      <c r="L68" s="62" t="inlineStr">
        <is>
          <t>Equity Mult.</t>
        </is>
      </c>
    </row>
    <row r="69">
      <c r="A69" s="16" t="n">
        <v>0.01</v>
      </c>
      <c r="B69" s="88" t="n">
        <v>0.06</v>
      </c>
      <c r="C69" s="33">
        <f>MIN((Assumptions!$B$6+(Assumptions!$B$56+'Capex Budget'!$B$14)*(1+Assumptions!$B$60))*Assumptions!$B$88,('Annual Model'!C51+('Annual Model'!C22*((1+$A69)^(1-0.5)/'Annual Model'!C10-1))*(1-Assumptions!C$65-Assumptions!C$66-Assumptions!C$67-Assumptions!C$68-'Reno Schedule'!C$75)*(1-Assumptions!$B$74))/Assumptions!$B$89,('Annual Model'!C51+('Annual Model'!C22*((1+$A69)^(1-0.5)/'Annual Model'!C10-1))*(1-Assumptions!C$65-Assumptions!C$66-Assumptions!C$67-Assumptions!C$68-'Reno Schedule'!C$75)*(1-Assumptions!$B$74))/(Assumptions!$B$90*Assumptions!$B$91))</f>
        <v/>
      </c>
      <c r="D69" s="33">
        <f>Assumptions!$B$6+(Assumptions!$B$56+'Capex Budget'!$B$14)*(1+Assumptions!$B$60)+Assumptions!$B$6*Assumptions!$B$11+C69*Assumptions!$B$92+Assumptions!$B$93-C69</f>
        <v/>
      </c>
      <c r="E69" s="33">
        <f>-D69</f>
        <v/>
      </c>
      <c r="F69" s="33">
        <f>'Annual Model'!C60+('Annual Model'!C22*((1+$A69)^(1-0.5)/'Annual Model'!C10-1))*(1-Assumptions!C$65-Assumptions!C$66-Assumptions!C$67-Assumptions!C$68-'Reno Schedule'!C$75)*(1-Assumptions!$B$74)-C69*Assumptions!$B$91</f>
        <v/>
      </c>
      <c r="G69" s="33">
        <f>'Annual Model'!D60+('Annual Model'!D22*((1+$A69)^(2-0.5)/'Annual Model'!D10-1))*(1-Assumptions!D$65-Assumptions!D$66-Assumptions!D$67-Assumptions!D$68-'Reno Schedule'!D$75)*(1-Assumptions!$B$74)-C69*Assumptions!$B$91</f>
        <v/>
      </c>
      <c r="H69" s="33">
        <f>'Annual Model'!E60+('Annual Model'!E22*((1+$A69)^(3-0.5)/'Annual Model'!E10-1))*(1-Assumptions!E$65-Assumptions!E$66-Assumptions!E$67-Assumptions!E$68-'Reno Schedule'!E$75)*(1-Assumptions!$B$74)-C69*Assumptions!$B$91</f>
        <v/>
      </c>
      <c r="I69" s="33">
        <f>'Annual Model'!F60+('Annual Model'!F22*((1+$A69)^(4-0.5)/'Annual Model'!F10-1))*(1-Assumptions!F$65-Assumptions!F$66-Assumptions!F$67-Assumptions!F$68-'Reno Schedule'!F$75)*(1-Assumptions!$B$74)-C69*Assumptions!$B$91</f>
        <v/>
      </c>
      <c r="J69" s="33">
        <f>'Annual Model'!G60+('Annual Model'!G22*((1+$A69)^(5-0.5)/'Annual Model'!G10-1))*(1-Assumptions!G$65-Assumptions!G$66-Assumptions!G$67-Assumptions!G$68-'Reno Schedule'!G$75)*(1-Assumptions!$B$74)-C69*Assumptions!$B$91+('Annual Model'!H51+'Annual Model'!H22*((1+$A69)^(6-0.5)/'Annual Model'!H10-1)*(1-Assumptions!G$65-Assumptions!G$66-Assumptions!G$67-Assumptions!G$68)*(1-Assumptions!$B$74))/$B69*(1-Assumptions!$B$15)-C69</f>
        <v/>
      </c>
      <c r="K69" s="89">
        <f>IRR(E69:J69)</f>
        <v/>
      </c>
      <c r="L69" s="78">
        <f>SUM(F69:J69)/-E69</f>
        <v/>
      </c>
    </row>
    <row r="70">
      <c r="A70" s="16" t="n">
        <v>0.01</v>
      </c>
      <c r="B70" s="88" t="n">
        <v>0.065</v>
      </c>
      <c r="C70" s="33">
        <f>MIN((Assumptions!$B$6+(Assumptions!$B$56+'Capex Budget'!$B$14)*(1+Assumptions!$B$60))*Assumptions!$B$88,('Annual Model'!C51+('Annual Model'!C22*((1+$A70)^(1-0.5)/'Annual Model'!C10-1))*(1-Assumptions!C$65-Assumptions!C$66-Assumptions!C$67-Assumptions!C$68-'Reno Schedule'!C$75)*(1-Assumptions!$B$74))/Assumptions!$B$89,('Annual Model'!C51+('Annual Model'!C22*((1+$A70)^(1-0.5)/'Annual Model'!C10-1))*(1-Assumptions!C$65-Assumptions!C$66-Assumptions!C$67-Assumptions!C$68-'Reno Schedule'!C$75)*(1-Assumptions!$B$74))/(Assumptions!$B$90*Assumptions!$B$91))</f>
        <v/>
      </c>
      <c r="D70" s="33">
        <f>Assumptions!$B$6+(Assumptions!$B$56+'Capex Budget'!$B$14)*(1+Assumptions!$B$60)+Assumptions!$B$6*Assumptions!$B$11+C70*Assumptions!$B$92+Assumptions!$B$93-C70</f>
        <v/>
      </c>
      <c r="E70" s="33">
        <f>-D70</f>
        <v/>
      </c>
      <c r="F70" s="33">
        <f>'Annual Model'!C60+('Annual Model'!C22*((1+$A70)^(1-0.5)/'Annual Model'!C10-1))*(1-Assumptions!C$65-Assumptions!C$66-Assumptions!C$67-Assumptions!C$68-'Reno Schedule'!C$75)*(1-Assumptions!$B$74)-C70*Assumptions!$B$91</f>
        <v/>
      </c>
      <c r="G70" s="33">
        <f>'Annual Model'!D60+('Annual Model'!D22*((1+$A70)^(2-0.5)/'Annual Model'!D10-1))*(1-Assumptions!D$65-Assumptions!D$66-Assumptions!D$67-Assumptions!D$68-'Reno Schedule'!D$75)*(1-Assumptions!$B$74)-C70*Assumptions!$B$91</f>
        <v/>
      </c>
      <c r="H70" s="33">
        <f>'Annual Model'!E60+('Annual Model'!E22*((1+$A70)^(3-0.5)/'Annual Model'!E10-1))*(1-Assumptions!E$65-Assumptions!E$66-Assumptions!E$67-Assumptions!E$68-'Reno Schedule'!E$75)*(1-Assumptions!$B$74)-C70*Assumptions!$B$91</f>
        <v/>
      </c>
      <c r="I70" s="33">
        <f>'Annual Model'!F60+('Annual Model'!F22*((1+$A70)^(4-0.5)/'Annual Model'!F10-1))*(1-Assumptions!F$65-Assumptions!F$66-Assumptions!F$67-Assumptions!F$68-'Reno Schedule'!F$75)*(1-Assumptions!$B$74)-C70*Assumptions!$B$91</f>
        <v/>
      </c>
      <c r="J70" s="33">
        <f>'Annual Model'!G60+('Annual Model'!G22*((1+$A70)^(5-0.5)/'Annual Model'!G10-1))*(1-Assumptions!G$65-Assumptions!G$66-Assumptions!G$67-Assumptions!G$68-'Reno Schedule'!G$75)*(1-Assumptions!$B$74)-C70*Assumptions!$B$91+('Annual Model'!H51+'Annual Model'!H22*((1+$A70)^(6-0.5)/'Annual Model'!H10-1)*(1-Assumptions!G$65-Assumptions!G$66-Assumptions!G$67-Assumptions!G$68)*(1-Assumptions!$B$74))/$B70*(1-Assumptions!$B$15)-C70</f>
        <v/>
      </c>
      <c r="K70" s="89">
        <f>IRR(E70:J70)</f>
        <v/>
      </c>
      <c r="L70" s="78">
        <f>SUM(F70:J70)/-E70</f>
        <v/>
      </c>
    </row>
    <row r="71">
      <c r="A71" s="16" t="n">
        <v>0.01</v>
      </c>
      <c r="B71" s="88" t="n">
        <v>0.0675</v>
      </c>
      <c r="C71" s="33">
        <f>MIN((Assumptions!$B$6+(Assumptions!$B$56+'Capex Budget'!$B$14)*(1+Assumptions!$B$60))*Assumptions!$B$88,('Annual Model'!C51+('Annual Model'!C22*((1+$A71)^(1-0.5)/'Annual Model'!C10-1))*(1-Assumptions!C$65-Assumptions!C$66-Assumptions!C$67-Assumptions!C$68-'Reno Schedule'!C$75)*(1-Assumptions!$B$74))/Assumptions!$B$89,('Annual Model'!C51+('Annual Model'!C22*((1+$A71)^(1-0.5)/'Annual Model'!C10-1))*(1-Assumptions!C$65-Assumptions!C$66-Assumptions!C$67-Assumptions!C$68-'Reno Schedule'!C$75)*(1-Assumptions!$B$74))/(Assumptions!$B$90*Assumptions!$B$91))</f>
        <v/>
      </c>
      <c r="D71" s="33">
        <f>Assumptions!$B$6+(Assumptions!$B$56+'Capex Budget'!$B$14)*(1+Assumptions!$B$60)+Assumptions!$B$6*Assumptions!$B$11+C71*Assumptions!$B$92+Assumptions!$B$93-C71</f>
        <v/>
      </c>
      <c r="E71" s="33">
        <f>-D71</f>
        <v/>
      </c>
      <c r="F71" s="33">
        <f>'Annual Model'!C60+('Annual Model'!C22*((1+$A71)^(1-0.5)/'Annual Model'!C10-1))*(1-Assumptions!C$65-Assumptions!C$66-Assumptions!C$67-Assumptions!C$68-'Reno Schedule'!C$75)*(1-Assumptions!$B$74)-C71*Assumptions!$B$91</f>
        <v/>
      </c>
      <c r="G71" s="33">
        <f>'Annual Model'!D60+('Annual Model'!D22*((1+$A71)^(2-0.5)/'Annual Model'!D10-1))*(1-Assumptions!D$65-Assumptions!D$66-Assumptions!D$67-Assumptions!D$68-'Reno Schedule'!D$75)*(1-Assumptions!$B$74)-C71*Assumptions!$B$91</f>
        <v/>
      </c>
      <c r="H71" s="33">
        <f>'Annual Model'!E60+('Annual Model'!E22*((1+$A71)^(3-0.5)/'Annual Model'!E10-1))*(1-Assumptions!E$65-Assumptions!E$66-Assumptions!E$67-Assumptions!E$68-'Reno Schedule'!E$75)*(1-Assumptions!$B$74)-C71*Assumptions!$B$91</f>
        <v/>
      </c>
      <c r="I71" s="33">
        <f>'Annual Model'!F60+('Annual Model'!F22*((1+$A71)^(4-0.5)/'Annual Model'!F10-1))*(1-Assumptions!F$65-Assumptions!F$66-Assumptions!F$67-Assumptions!F$68-'Reno Schedule'!F$75)*(1-Assumptions!$B$74)-C71*Assumptions!$B$91</f>
        <v/>
      </c>
      <c r="J71" s="33">
        <f>'Annual Model'!G60+('Annual Model'!G22*((1+$A71)^(5-0.5)/'Annual Model'!G10-1))*(1-Assumptions!G$65-Assumptions!G$66-Assumptions!G$67-Assumptions!G$68-'Reno Schedule'!G$75)*(1-Assumptions!$B$74)-C71*Assumptions!$B$91+('Annual Model'!H51+'Annual Model'!H22*((1+$A71)^(6-0.5)/'Annual Model'!H10-1)*(1-Assumptions!G$65-Assumptions!G$66-Assumptions!G$67-Assumptions!G$68)*(1-Assumptions!$B$74))/$B71*(1-Assumptions!$B$15)-C71</f>
        <v/>
      </c>
      <c r="K71" s="89">
        <f>IRR(E71:J71)</f>
        <v/>
      </c>
      <c r="L71" s="78">
        <f>SUM(F71:J71)/-E71</f>
        <v/>
      </c>
    </row>
    <row r="72">
      <c r="A72" s="16" t="n">
        <v>0.01</v>
      </c>
      <c r="B72" s="88" t="n">
        <v>0.07000000000000001</v>
      </c>
      <c r="C72" s="33">
        <f>MIN((Assumptions!$B$6+(Assumptions!$B$56+'Capex Budget'!$B$14)*(1+Assumptions!$B$60))*Assumptions!$B$88,('Annual Model'!C51+('Annual Model'!C22*((1+$A72)^(1-0.5)/'Annual Model'!C10-1))*(1-Assumptions!C$65-Assumptions!C$66-Assumptions!C$67-Assumptions!C$68-'Reno Schedule'!C$75)*(1-Assumptions!$B$74))/Assumptions!$B$89,('Annual Model'!C51+('Annual Model'!C22*((1+$A72)^(1-0.5)/'Annual Model'!C10-1))*(1-Assumptions!C$65-Assumptions!C$66-Assumptions!C$67-Assumptions!C$68-'Reno Schedule'!C$75)*(1-Assumptions!$B$74))/(Assumptions!$B$90*Assumptions!$B$91))</f>
        <v/>
      </c>
      <c r="D72" s="33">
        <f>Assumptions!$B$6+(Assumptions!$B$56+'Capex Budget'!$B$14)*(1+Assumptions!$B$60)+Assumptions!$B$6*Assumptions!$B$11+C72*Assumptions!$B$92+Assumptions!$B$93-C72</f>
        <v/>
      </c>
      <c r="E72" s="33">
        <f>-D72</f>
        <v/>
      </c>
      <c r="F72" s="33">
        <f>'Annual Model'!C60+('Annual Model'!C22*((1+$A72)^(1-0.5)/'Annual Model'!C10-1))*(1-Assumptions!C$65-Assumptions!C$66-Assumptions!C$67-Assumptions!C$68-'Reno Schedule'!C$75)*(1-Assumptions!$B$74)-C72*Assumptions!$B$91</f>
        <v/>
      </c>
      <c r="G72" s="33">
        <f>'Annual Model'!D60+('Annual Model'!D22*((1+$A72)^(2-0.5)/'Annual Model'!D10-1))*(1-Assumptions!D$65-Assumptions!D$66-Assumptions!D$67-Assumptions!D$68-'Reno Schedule'!D$75)*(1-Assumptions!$B$74)-C72*Assumptions!$B$91</f>
        <v/>
      </c>
      <c r="H72" s="33">
        <f>'Annual Model'!E60+('Annual Model'!E22*((1+$A72)^(3-0.5)/'Annual Model'!E10-1))*(1-Assumptions!E$65-Assumptions!E$66-Assumptions!E$67-Assumptions!E$68-'Reno Schedule'!E$75)*(1-Assumptions!$B$74)-C72*Assumptions!$B$91</f>
        <v/>
      </c>
      <c r="I72" s="33">
        <f>'Annual Model'!F60+('Annual Model'!F22*((1+$A72)^(4-0.5)/'Annual Model'!F10-1))*(1-Assumptions!F$65-Assumptions!F$66-Assumptions!F$67-Assumptions!F$68-'Reno Schedule'!F$75)*(1-Assumptions!$B$74)-C72*Assumptions!$B$91</f>
        <v/>
      </c>
      <c r="J72" s="33">
        <f>'Annual Model'!G60+('Annual Model'!G22*((1+$A72)^(5-0.5)/'Annual Model'!G10-1))*(1-Assumptions!G$65-Assumptions!G$66-Assumptions!G$67-Assumptions!G$68-'Reno Schedule'!G$75)*(1-Assumptions!$B$74)-C72*Assumptions!$B$91+('Annual Model'!H51+'Annual Model'!H22*((1+$A72)^(6-0.5)/'Annual Model'!H10-1)*(1-Assumptions!G$65-Assumptions!G$66-Assumptions!G$67-Assumptions!G$68)*(1-Assumptions!$B$74))/$B72*(1-Assumptions!$B$15)-C72</f>
        <v/>
      </c>
      <c r="K72" s="89">
        <f>IRR(E72:J72)</f>
        <v/>
      </c>
      <c r="L72" s="78">
        <f>SUM(F72:J72)/-E72</f>
        <v/>
      </c>
    </row>
    <row r="73">
      <c r="A73" s="16" t="n">
        <v>0.01</v>
      </c>
      <c r="B73" s="88" t="n">
        <v>0.075</v>
      </c>
      <c r="C73" s="33">
        <f>MIN((Assumptions!$B$6+(Assumptions!$B$56+'Capex Budget'!$B$14)*(1+Assumptions!$B$60))*Assumptions!$B$88,('Annual Model'!C51+('Annual Model'!C22*((1+$A73)^(1-0.5)/'Annual Model'!C10-1))*(1-Assumptions!C$65-Assumptions!C$66-Assumptions!C$67-Assumptions!C$68-'Reno Schedule'!C$75)*(1-Assumptions!$B$74))/Assumptions!$B$89,('Annual Model'!C51+('Annual Model'!C22*((1+$A73)^(1-0.5)/'Annual Model'!C10-1))*(1-Assumptions!C$65-Assumptions!C$66-Assumptions!C$67-Assumptions!C$68-'Reno Schedule'!C$75)*(1-Assumptions!$B$74))/(Assumptions!$B$90*Assumptions!$B$91))</f>
        <v/>
      </c>
      <c r="D73" s="33">
        <f>Assumptions!$B$6+(Assumptions!$B$56+'Capex Budget'!$B$14)*(1+Assumptions!$B$60)+Assumptions!$B$6*Assumptions!$B$11+C73*Assumptions!$B$92+Assumptions!$B$93-C73</f>
        <v/>
      </c>
      <c r="E73" s="33">
        <f>-D73</f>
        <v/>
      </c>
      <c r="F73" s="33">
        <f>'Annual Model'!C60+('Annual Model'!C22*((1+$A73)^(1-0.5)/'Annual Model'!C10-1))*(1-Assumptions!C$65-Assumptions!C$66-Assumptions!C$67-Assumptions!C$68-'Reno Schedule'!C$75)*(1-Assumptions!$B$74)-C73*Assumptions!$B$91</f>
        <v/>
      </c>
      <c r="G73" s="33">
        <f>'Annual Model'!D60+('Annual Model'!D22*((1+$A73)^(2-0.5)/'Annual Model'!D10-1))*(1-Assumptions!D$65-Assumptions!D$66-Assumptions!D$67-Assumptions!D$68-'Reno Schedule'!D$75)*(1-Assumptions!$B$74)-C73*Assumptions!$B$91</f>
        <v/>
      </c>
      <c r="H73" s="33">
        <f>'Annual Model'!E60+('Annual Model'!E22*((1+$A73)^(3-0.5)/'Annual Model'!E10-1))*(1-Assumptions!E$65-Assumptions!E$66-Assumptions!E$67-Assumptions!E$68-'Reno Schedule'!E$75)*(1-Assumptions!$B$74)-C73*Assumptions!$B$91</f>
        <v/>
      </c>
      <c r="I73" s="33">
        <f>'Annual Model'!F60+('Annual Model'!F22*((1+$A73)^(4-0.5)/'Annual Model'!F10-1))*(1-Assumptions!F$65-Assumptions!F$66-Assumptions!F$67-Assumptions!F$68-'Reno Schedule'!F$75)*(1-Assumptions!$B$74)-C73*Assumptions!$B$91</f>
        <v/>
      </c>
      <c r="J73" s="33">
        <f>'Annual Model'!G60+('Annual Model'!G22*((1+$A73)^(5-0.5)/'Annual Model'!G10-1))*(1-Assumptions!G$65-Assumptions!G$66-Assumptions!G$67-Assumptions!G$68-'Reno Schedule'!G$75)*(1-Assumptions!$B$74)-C73*Assumptions!$B$91+('Annual Model'!H51+'Annual Model'!H22*((1+$A73)^(6-0.5)/'Annual Model'!H10-1)*(1-Assumptions!G$65-Assumptions!G$66-Assumptions!G$67-Assumptions!G$68)*(1-Assumptions!$B$74))/$B73*(1-Assumptions!$B$15)-C73</f>
        <v/>
      </c>
      <c r="K73" s="89">
        <f>IRR(E73:J73)</f>
        <v/>
      </c>
      <c r="L73" s="78">
        <f>SUM(F73:J73)/-E73</f>
        <v/>
      </c>
    </row>
    <row r="74">
      <c r="A74" s="16" t="n">
        <v>0.015</v>
      </c>
      <c r="B74" s="88" t="n">
        <v>0.06</v>
      </c>
      <c r="C74" s="33">
        <f>MIN((Assumptions!$B$6+(Assumptions!$B$56+'Capex Budget'!$B$14)*(1+Assumptions!$B$60))*Assumptions!$B$88,('Annual Model'!C51+('Annual Model'!C22*((1+$A74)^(1-0.5)/'Annual Model'!C10-1))*(1-Assumptions!C$65-Assumptions!C$66-Assumptions!C$67-Assumptions!C$68-'Reno Schedule'!C$75)*(1-Assumptions!$B$74))/Assumptions!$B$89,('Annual Model'!C51+('Annual Model'!C22*((1+$A74)^(1-0.5)/'Annual Model'!C10-1))*(1-Assumptions!C$65-Assumptions!C$66-Assumptions!C$67-Assumptions!C$68-'Reno Schedule'!C$75)*(1-Assumptions!$B$74))/(Assumptions!$B$90*Assumptions!$B$91))</f>
        <v/>
      </c>
      <c r="D74" s="33">
        <f>Assumptions!$B$6+(Assumptions!$B$56+'Capex Budget'!$B$14)*(1+Assumptions!$B$60)+Assumptions!$B$6*Assumptions!$B$11+C74*Assumptions!$B$92+Assumptions!$B$93-C74</f>
        <v/>
      </c>
      <c r="E74" s="33">
        <f>-D74</f>
        <v/>
      </c>
      <c r="F74" s="33">
        <f>'Annual Model'!C60+('Annual Model'!C22*((1+$A74)^(1-0.5)/'Annual Model'!C10-1))*(1-Assumptions!C$65-Assumptions!C$66-Assumptions!C$67-Assumptions!C$68-'Reno Schedule'!C$75)*(1-Assumptions!$B$74)-C74*Assumptions!$B$91</f>
        <v/>
      </c>
      <c r="G74" s="33">
        <f>'Annual Model'!D60+('Annual Model'!D22*((1+$A74)^(2-0.5)/'Annual Model'!D10-1))*(1-Assumptions!D$65-Assumptions!D$66-Assumptions!D$67-Assumptions!D$68-'Reno Schedule'!D$75)*(1-Assumptions!$B$74)-C74*Assumptions!$B$91</f>
        <v/>
      </c>
      <c r="H74" s="33">
        <f>'Annual Model'!E60+('Annual Model'!E22*((1+$A74)^(3-0.5)/'Annual Model'!E10-1))*(1-Assumptions!E$65-Assumptions!E$66-Assumptions!E$67-Assumptions!E$68-'Reno Schedule'!E$75)*(1-Assumptions!$B$74)-C74*Assumptions!$B$91</f>
        <v/>
      </c>
      <c r="I74" s="33">
        <f>'Annual Model'!F60+('Annual Model'!F22*((1+$A74)^(4-0.5)/'Annual Model'!F10-1))*(1-Assumptions!F$65-Assumptions!F$66-Assumptions!F$67-Assumptions!F$68-'Reno Schedule'!F$75)*(1-Assumptions!$B$74)-C74*Assumptions!$B$91</f>
        <v/>
      </c>
      <c r="J74" s="33">
        <f>'Annual Model'!G60+('Annual Model'!G22*((1+$A74)^(5-0.5)/'Annual Model'!G10-1))*(1-Assumptions!G$65-Assumptions!G$66-Assumptions!G$67-Assumptions!G$68-'Reno Schedule'!G$75)*(1-Assumptions!$B$74)-C74*Assumptions!$B$91+('Annual Model'!H51+'Annual Model'!H22*((1+$A74)^(6-0.5)/'Annual Model'!H10-1)*(1-Assumptions!G$65-Assumptions!G$66-Assumptions!G$67-Assumptions!G$68)*(1-Assumptions!$B$74))/$B74*(1-Assumptions!$B$15)-C74</f>
        <v/>
      </c>
      <c r="K74" s="89">
        <f>IRR(E74:J74)</f>
        <v/>
      </c>
      <c r="L74" s="78">
        <f>SUM(F74:J74)/-E74</f>
        <v/>
      </c>
    </row>
    <row r="75">
      <c r="A75" s="16" t="n">
        <v>0.015</v>
      </c>
      <c r="B75" s="88" t="n">
        <v>0.065</v>
      </c>
      <c r="C75" s="33">
        <f>MIN((Assumptions!$B$6+(Assumptions!$B$56+'Capex Budget'!$B$14)*(1+Assumptions!$B$60))*Assumptions!$B$88,('Annual Model'!C51+('Annual Model'!C22*((1+$A75)^(1-0.5)/'Annual Model'!C10-1))*(1-Assumptions!C$65-Assumptions!C$66-Assumptions!C$67-Assumptions!C$68-'Reno Schedule'!C$75)*(1-Assumptions!$B$74))/Assumptions!$B$89,('Annual Model'!C51+('Annual Model'!C22*((1+$A75)^(1-0.5)/'Annual Model'!C10-1))*(1-Assumptions!C$65-Assumptions!C$66-Assumptions!C$67-Assumptions!C$68-'Reno Schedule'!C$75)*(1-Assumptions!$B$74))/(Assumptions!$B$90*Assumptions!$B$91))</f>
        <v/>
      </c>
      <c r="D75" s="33">
        <f>Assumptions!$B$6+(Assumptions!$B$56+'Capex Budget'!$B$14)*(1+Assumptions!$B$60)+Assumptions!$B$6*Assumptions!$B$11+C75*Assumptions!$B$92+Assumptions!$B$93-C75</f>
        <v/>
      </c>
      <c r="E75" s="33">
        <f>-D75</f>
        <v/>
      </c>
      <c r="F75" s="33">
        <f>'Annual Model'!C60+('Annual Model'!C22*((1+$A75)^(1-0.5)/'Annual Model'!C10-1))*(1-Assumptions!C$65-Assumptions!C$66-Assumptions!C$67-Assumptions!C$68-'Reno Schedule'!C$75)*(1-Assumptions!$B$74)-C75*Assumptions!$B$91</f>
        <v/>
      </c>
      <c r="G75" s="33">
        <f>'Annual Model'!D60+('Annual Model'!D22*((1+$A75)^(2-0.5)/'Annual Model'!D10-1))*(1-Assumptions!D$65-Assumptions!D$66-Assumptions!D$67-Assumptions!D$68-'Reno Schedule'!D$75)*(1-Assumptions!$B$74)-C75*Assumptions!$B$91</f>
        <v/>
      </c>
      <c r="H75" s="33">
        <f>'Annual Model'!E60+('Annual Model'!E22*((1+$A75)^(3-0.5)/'Annual Model'!E10-1))*(1-Assumptions!E$65-Assumptions!E$66-Assumptions!E$67-Assumptions!E$68-'Reno Schedule'!E$75)*(1-Assumptions!$B$74)-C75*Assumptions!$B$91</f>
        <v/>
      </c>
      <c r="I75" s="33">
        <f>'Annual Model'!F60+('Annual Model'!F22*((1+$A75)^(4-0.5)/'Annual Model'!F10-1))*(1-Assumptions!F$65-Assumptions!F$66-Assumptions!F$67-Assumptions!F$68-'Reno Schedule'!F$75)*(1-Assumptions!$B$74)-C75*Assumptions!$B$91</f>
        <v/>
      </c>
      <c r="J75" s="33">
        <f>'Annual Model'!G60+('Annual Model'!G22*((1+$A75)^(5-0.5)/'Annual Model'!G10-1))*(1-Assumptions!G$65-Assumptions!G$66-Assumptions!G$67-Assumptions!G$68-'Reno Schedule'!G$75)*(1-Assumptions!$B$74)-C75*Assumptions!$B$91+('Annual Model'!H51+'Annual Model'!H22*((1+$A75)^(6-0.5)/'Annual Model'!H10-1)*(1-Assumptions!G$65-Assumptions!G$66-Assumptions!G$67-Assumptions!G$68)*(1-Assumptions!$B$74))/$B75*(1-Assumptions!$B$15)-C75</f>
        <v/>
      </c>
      <c r="K75" s="89">
        <f>IRR(E75:J75)</f>
        <v/>
      </c>
      <c r="L75" s="78">
        <f>SUM(F75:J75)/-E75</f>
        <v/>
      </c>
    </row>
    <row r="76">
      <c r="A76" s="16" t="n">
        <v>0.015</v>
      </c>
      <c r="B76" s="88" t="n">
        <v>0.0675</v>
      </c>
      <c r="C76" s="33">
        <f>MIN((Assumptions!$B$6+(Assumptions!$B$56+'Capex Budget'!$B$14)*(1+Assumptions!$B$60))*Assumptions!$B$88,('Annual Model'!C51+('Annual Model'!C22*((1+$A76)^(1-0.5)/'Annual Model'!C10-1))*(1-Assumptions!C$65-Assumptions!C$66-Assumptions!C$67-Assumptions!C$68-'Reno Schedule'!C$75)*(1-Assumptions!$B$74))/Assumptions!$B$89,('Annual Model'!C51+('Annual Model'!C22*((1+$A76)^(1-0.5)/'Annual Model'!C10-1))*(1-Assumptions!C$65-Assumptions!C$66-Assumptions!C$67-Assumptions!C$68-'Reno Schedule'!C$75)*(1-Assumptions!$B$74))/(Assumptions!$B$90*Assumptions!$B$91))</f>
        <v/>
      </c>
      <c r="D76" s="33">
        <f>Assumptions!$B$6+(Assumptions!$B$56+'Capex Budget'!$B$14)*(1+Assumptions!$B$60)+Assumptions!$B$6*Assumptions!$B$11+C76*Assumptions!$B$92+Assumptions!$B$93-C76</f>
        <v/>
      </c>
      <c r="E76" s="33">
        <f>-D76</f>
        <v/>
      </c>
      <c r="F76" s="33">
        <f>'Annual Model'!C60+('Annual Model'!C22*((1+$A76)^(1-0.5)/'Annual Model'!C10-1))*(1-Assumptions!C$65-Assumptions!C$66-Assumptions!C$67-Assumptions!C$68-'Reno Schedule'!C$75)*(1-Assumptions!$B$74)-C76*Assumptions!$B$91</f>
        <v/>
      </c>
      <c r="G76" s="33">
        <f>'Annual Model'!D60+('Annual Model'!D22*((1+$A76)^(2-0.5)/'Annual Model'!D10-1))*(1-Assumptions!D$65-Assumptions!D$66-Assumptions!D$67-Assumptions!D$68-'Reno Schedule'!D$75)*(1-Assumptions!$B$74)-C76*Assumptions!$B$91</f>
        <v/>
      </c>
      <c r="H76" s="33">
        <f>'Annual Model'!E60+('Annual Model'!E22*((1+$A76)^(3-0.5)/'Annual Model'!E10-1))*(1-Assumptions!E$65-Assumptions!E$66-Assumptions!E$67-Assumptions!E$68-'Reno Schedule'!E$75)*(1-Assumptions!$B$74)-C76*Assumptions!$B$91</f>
        <v/>
      </c>
      <c r="I76" s="33">
        <f>'Annual Model'!F60+('Annual Model'!F22*((1+$A76)^(4-0.5)/'Annual Model'!F10-1))*(1-Assumptions!F$65-Assumptions!F$66-Assumptions!F$67-Assumptions!F$68-'Reno Schedule'!F$75)*(1-Assumptions!$B$74)-C76*Assumptions!$B$91</f>
        <v/>
      </c>
      <c r="J76" s="33">
        <f>'Annual Model'!G60+('Annual Model'!G22*((1+$A76)^(5-0.5)/'Annual Model'!G10-1))*(1-Assumptions!G$65-Assumptions!G$66-Assumptions!G$67-Assumptions!G$68-'Reno Schedule'!G$75)*(1-Assumptions!$B$74)-C76*Assumptions!$B$91+('Annual Model'!H51+'Annual Model'!H22*((1+$A76)^(6-0.5)/'Annual Model'!H10-1)*(1-Assumptions!G$65-Assumptions!G$66-Assumptions!G$67-Assumptions!G$68)*(1-Assumptions!$B$74))/$B76*(1-Assumptions!$B$15)-C76</f>
        <v/>
      </c>
      <c r="K76" s="89">
        <f>IRR(E76:J76)</f>
        <v/>
      </c>
      <c r="L76" s="78">
        <f>SUM(F76:J76)/-E76</f>
        <v/>
      </c>
    </row>
    <row r="77">
      <c r="A77" s="16" t="n">
        <v>0.015</v>
      </c>
      <c r="B77" s="88" t="n">
        <v>0.07000000000000001</v>
      </c>
      <c r="C77" s="33">
        <f>MIN((Assumptions!$B$6+(Assumptions!$B$56+'Capex Budget'!$B$14)*(1+Assumptions!$B$60))*Assumptions!$B$88,('Annual Model'!C51+('Annual Model'!C22*((1+$A77)^(1-0.5)/'Annual Model'!C10-1))*(1-Assumptions!C$65-Assumptions!C$66-Assumptions!C$67-Assumptions!C$68-'Reno Schedule'!C$75)*(1-Assumptions!$B$74))/Assumptions!$B$89,('Annual Model'!C51+('Annual Model'!C22*((1+$A77)^(1-0.5)/'Annual Model'!C10-1))*(1-Assumptions!C$65-Assumptions!C$66-Assumptions!C$67-Assumptions!C$68-'Reno Schedule'!C$75)*(1-Assumptions!$B$74))/(Assumptions!$B$90*Assumptions!$B$91))</f>
        <v/>
      </c>
      <c r="D77" s="33">
        <f>Assumptions!$B$6+(Assumptions!$B$56+'Capex Budget'!$B$14)*(1+Assumptions!$B$60)+Assumptions!$B$6*Assumptions!$B$11+C77*Assumptions!$B$92+Assumptions!$B$93-C77</f>
        <v/>
      </c>
      <c r="E77" s="33">
        <f>-D77</f>
        <v/>
      </c>
      <c r="F77" s="33">
        <f>'Annual Model'!C60+('Annual Model'!C22*((1+$A77)^(1-0.5)/'Annual Model'!C10-1))*(1-Assumptions!C$65-Assumptions!C$66-Assumptions!C$67-Assumptions!C$68-'Reno Schedule'!C$75)*(1-Assumptions!$B$74)-C77*Assumptions!$B$91</f>
        <v/>
      </c>
      <c r="G77" s="33">
        <f>'Annual Model'!D60+('Annual Model'!D22*((1+$A77)^(2-0.5)/'Annual Model'!D10-1))*(1-Assumptions!D$65-Assumptions!D$66-Assumptions!D$67-Assumptions!D$68-'Reno Schedule'!D$75)*(1-Assumptions!$B$74)-C77*Assumptions!$B$91</f>
        <v/>
      </c>
      <c r="H77" s="33">
        <f>'Annual Model'!E60+('Annual Model'!E22*((1+$A77)^(3-0.5)/'Annual Model'!E10-1))*(1-Assumptions!E$65-Assumptions!E$66-Assumptions!E$67-Assumptions!E$68-'Reno Schedule'!E$75)*(1-Assumptions!$B$74)-C77*Assumptions!$B$91</f>
        <v/>
      </c>
      <c r="I77" s="33">
        <f>'Annual Model'!F60+('Annual Model'!F22*((1+$A77)^(4-0.5)/'Annual Model'!F10-1))*(1-Assumptions!F$65-Assumptions!F$66-Assumptions!F$67-Assumptions!F$68-'Reno Schedule'!F$75)*(1-Assumptions!$B$74)-C77*Assumptions!$B$91</f>
        <v/>
      </c>
      <c r="J77" s="33">
        <f>'Annual Model'!G60+('Annual Model'!G22*((1+$A77)^(5-0.5)/'Annual Model'!G10-1))*(1-Assumptions!G$65-Assumptions!G$66-Assumptions!G$67-Assumptions!G$68-'Reno Schedule'!G$75)*(1-Assumptions!$B$74)-C77*Assumptions!$B$91+('Annual Model'!H51+'Annual Model'!H22*((1+$A77)^(6-0.5)/'Annual Model'!H10-1)*(1-Assumptions!G$65-Assumptions!G$66-Assumptions!G$67-Assumptions!G$68)*(1-Assumptions!$B$74))/$B77*(1-Assumptions!$B$15)-C77</f>
        <v/>
      </c>
      <c r="K77" s="89">
        <f>IRR(E77:J77)</f>
        <v/>
      </c>
      <c r="L77" s="78">
        <f>SUM(F77:J77)/-E77</f>
        <v/>
      </c>
    </row>
    <row r="78">
      <c r="A78" s="16" t="n">
        <v>0.015</v>
      </c>
      <c r="B78" s="88" t="n">
        <v>0.075</v>
      </c>
      <c r="C78" s="33">
        <f>MIN((Assumptions!$B$6+(Assumptions!$B$56+'Capex Budget'!$B$14)*(1+Assumptions!$B$60))*Assumptions!$B$88,('Annual Model'!C51+('Annual Model'!C22*((1+$A78)^(1-0.5)/'Annual Model'!C10-1))*(1-Assumptions!C$65-Assumptions!C$66-Assumptions!C$67-Assumptions!C$68-'Reno Schedule'!C$75)*(1-Assumptions!$B$74))/Assumptions!$B$89,('Annual Model'!C51+('Annual Model'!C22*((1+$A78)^(1-0.5)/'Annual Model'!C10-1))*(1-Assumptions!C$65-Assumptions!C$66-Assumptions!C$67-Assumptions!C$68-'Reno Schedule'!C$75)*(1-Assumptions!$B$74))/(Assumptions!$B$90*Assumptions!$B$91))</f>
        <v/>
      </c>
      <c r="D78" s="33">
        <f>Assumptions!$B$6+(Assumptions!$B$56+'Capex Budget'!$B$14)*(1+Assumptions!$B$60)+Assumptions!$B$6*Assumptions!$B$11+C78*Assumptions!$B$92+Assumptions!$B$93-C78</f>
        <v/>
      </c>
      <c r="E78" s="33">
        <f>-D78</f>
        <v/>
      </c>
      <c r="F78" s="33">
        <f>'Annual Model'!C60+('Annual Model'!C22*((1+$A78)^(1-0.5)/'Annual Model'!C10-1))*(1-Assumptions!C$65-Assumptions!C$66-Assumptions!C$67-Assumptions!C$68-'Reno Schedule'!C$75)*(1-Assumptions!$B$74)-C78*Assumptions!$B$91</f>
        <v/>
      </c>
      <c r="G78" s="33">
        <f>'Annual Model'!D60+('Annual Model'!D22*((1+$A78)^(2-0.5)/'Annual Model'!D10-1))*(1-Assumptions!D$65-Assumptions!D$66-Assumptions!D$67-Assumptions!D$68-'Reno Schedule'!D$75)*(1-Assumptions!$B$74)-C78*Assumptions!$B$91</f>
        <v/>
      </c>
      <c r="H78" s="33">
        <f>'Annual Model'!E60+('Annual Model'!E22*((1+$A78)^(3-0.5)/'Annual Model'!E10-1))*(1-Assumptions!E$65-Assumptions!E$66-Assumptions!E$67-Assumptions!E$68-'Reno Schedule'!E$75)*(1-Assumptions!$B$74)-C78*Assumptions!$B$91</f>
        <v/>
      </c>
      <c r="I78" s="33">
        <f>'Annual Model'!F60+('Annual Model'!F22*((1+$A78)^(4-0.5)/'Annual Model'!F10-1))*(1-Assumptions!F$65-Assumptions!F$66-Assumptions!F$67-Assumptions!F$68-'Reno Schedule'!F$75)*(1-Assumptions!$B$74)-C78*Assumptions!$B$91</f>
        <v/>
      </c>
      <c r="J78" s="33">
        <f>'Annual Model'!G60+('Annual Model'!G22*((1+$A78)^(5-0.5)/'Annual Model'!G10-1))*(1-Assumptions!G$65-Assumptions!G$66-Assumptions!G$67-Assumptions!G$68-'Reno Schedule'!G$75)*(1-Assumptions!$B$74)-C78*Assumptions!$B$91+('Annual Model'!H51+'Annual Model'!H22*((1+$A78)^(6-0.5)/'Annual Model'!H10-1)*(1-Assumptions!G$65-Assumptions!G$66-Assumptions!G$67-Assumptions!G$68)*(1-Assumptions!$B$74))/$B78*(1-Assumptions!$B$15)-C78</f>
        <v/>
      </c>
      <c r="K78" s="89">
        <f>IRR(E78:J78)</f>
        <v/>
      </c>
      <c r="L78" s="78">
        <f>SUM(F78:J78)/-E78</f>
        <v/>
      </c>
    </row>
    <row r="79">
      <c r="A79" s="16" t="n">
        <v>0.02</v>
      </c>
      <c r="B79" s="88" t="n">
        <v>0.06</v>
      </c>
      <c r="C79" s="33">
        <f>MIN((Assumptions!$B$6+(Assumptions!$B$56+'Capex Budget'!$B$14)*(1+Assumptions!$B$60))*Assumptions!$B$88,('Annual Model'!C51+('Annual Model'!C22*((1+$A79)^(1-0.5)/'Annual Model'!C10-1))*(1-Assumptions!C$65-Assumptions!C$66-Assumptions!C$67-Assumptions!C$68-'Reno Schedule'!C$75)*(1-Assumptions!$B$74))/Assumptions!$B$89,('Annual Model'!C51+('Annual Model'!C22*((1+$A79)^(1-0.5)/'Annual Model'!C10-1))*(1-Assumptions!C$65-Assumptions!C$66-Assumptions!C$67-Assumptions!C$68-'Reno Schedule'!C$75)*(1-Assumptions!$B$74))/(Assumptions!$B$90*Assumptions!$B$91))</f>
        <v/>
      </c>
      <c r="D79" s="33">
        <f>Assumptions!$B$6+(Assumptions!$B$56+'Capex Budget'!$B$14)*(1+Assumptions!$B$60)+Assumptions!$B$6*Assumptions!$B$11+C79*Assumptions!$B$92+Assumptions!$B$93-C79</f>
        <v/>
      </c>
      <c r="E79" s="33">
        <f>-D79</f>
        <v/>
      </c>
      <c r="F79" s="33">
        <f>'Annual Model'!C60+('Annual Model'!C22*((1+$A79)^(1-0.5)/'Annual Model'!C10-1))*(1-Assumptions!C$65-Assumptions!C$66-Assumptions!C$67-Assumptions!C$68-'Reno Schedule'!C$75)*(1-Assumptions!$B$74)-C79*Assumptions!$B$91</f>
        <v/>
      </c>
      <c r="G79" s="33">
        <f>'Annual Model'!D60+('Annual Model'!D22*((1+$A79)^(2-0.5)/'Annual Model'!D10-1))*(1-Assumptions!D$65-Assumptions!D$66-Assumptions!D$67-Assumptions!D$68-'Reno Schedule'!D$75)*(1-Assumptions!$B$74)-C79*Assumptions!$B$91</f>
        <v/>
      </c>
      <c r="H79" s="33">
        <f>'Annual Model'!E60+('Annual Model'!E22*((1+$A79)^(3-0.5)/'Annual Model'!E10-1))*(1-Assumptions!E$65-Assumptions!E$66-Assumptions!E$67-Assumptions!E$68-'Reno Schedule'!E$75)*(1-Assumptions!$B$74)-C79*Assumptions!$B$91</f>
        <v/>
      </c>
      <c r="I79" s="33">
        <f>'Annual Model'!F60+('Annual Model'!F22*((1+$A79)^(4-0.5)/'Annual Model'!F10-1))*(1-Assumptions!F$65-Assumptions!F$66-Assumptions!F$67-Assumptions!F$68-'Reno Schedule'!F$75)*(1-Assumptions!$B$74)-C79*Assumptions!$B$91</f>
        <v/>
      </c>
      <c r="J79" s="33">
        <f>'Annual Model'!G60+('Annual Model'!G22*((1+$A79)^(5-0.5)/'Annual Model'!G10-1))*(1-Assumptions!G$65-Assumptions!G$66-Assumptions!G$67-Assumptions!G$68-'Reno Schedule'!G$75)*(1-Assumptions!$B$74)-C79*Assumptions!$B$91+('Annual Model'!H51+'Annual Model'!H22*((1+$A79)^(6-0.5)/'Annual Model'!H10-1)*(1-Assumptions!G$65-Assumptions!G$66-Assumptions!G$67-Assumptions!G$68)*(1-Assumptions!$B$74))/$B79*(1-Assumptions!$B$15)-C79</f>
        <v/>
      </c>
      <c r="K79" s="89">
        <f>IRR(E79:J79)</f>
        <v/>
      </c>
      <c r="L79" s="78">
        <f>SUM(F79:J79)/-E79</f>
        <v/>
      </c>
    </row>
    <row r="80">
      <c r="A80" s="16" t="n">
        <v>0.02</v>
      </c>
      <c r="B80" s="88" t="n">
        <v>0.065</v>
      </c>
      <c r="C80" s="33">
        <f>MIN((Assumptions!$B$6+(Assumptions!$B$56+'Capex Budget'!$B$14)*(1+Assumptions!$B$60))*Assumptions!$B$88,('Annual Model'!C51+('Annual Model'!C22*((1+$A80)^(1-0.5)/'Annual Model'!C10-1))*(1-Assumptions!C$65-Assumptions!C$66-Assumptions!C$67-Assumptions!C$68-'Reno Schedule'!C$75)*(1-Assumptions!$B$74))/Assumptions!$B$89,('Annual Model'!C51+('Annual Model'!C22*((1+$A80)^(1-0.5)/'Annual Model'!C10-1))*(1-Assumptions!C$65-Assumptions!C$66-Assumptions!C$67-Assumptions!C$68-'Reno Schedule'!C$75)*(1-Assumptions!$B$74))/(Assumptions!$B$90*Assumptions!$B$91))</f>
        <v/>
      </c>
      <c r="D80" s="33">
        <f>Assumptions!$B$6+(Assumptions!$B$56+'Capex Budget'!$B$14)*(1+Assumptions!$B$60)+Assumptions!$B$6*Assumptions!$B$11+C80*Assumptions!$B$92+Assumptions!$B$93-C80</f>
        <v/>
      </c>
      <c r="E80" s="33">
        <f>-D80</f>
        <v/>
      </c>
      <c r="F80" s="33">
        <f>'Annual Model'!C60+('Annual Model'!C22*((1+$A80)^(1-0.5)/'Annual Model'!C10-1))*(1-Assumptions!C$65-Assumptions!C$66-Assumptions!C$67-Assumptions!C$68-'Reno Schedule'!C$75)*(1-Assumptions!$B$74)-C80*Assumptions!$B$91</f>
        <v/>
      </c>
      <c r="G80" s="33">
        <f>'Annual Model'!D60+('Annual Model'!D22*((1+$A80)^(2-0.5)/'Annual Model'!D10-1))*(1-Assumptions!D$65-Assumptions!D$66-Assumptions!D$67-Assumptions!D$68-'Reno Schedule'!D$75)*(1-Assumptions!$B$74)-C80*Assumptions!$B$91</f>
        <v/>
      </c>
      <c r="H80" s="33">
        <f>'Annual Model'!E60+('Annual Model'!E22*((1+$A80)^(3-0.5)/'Annual Model'!E10-1))*(1-Assumptions!E$65-Assumptions!E$66-Assumptions!E$67-Assumptions!E$68-'Reno Schedule'!E$75)*(1-Assumptions!$B$74)-C80*Assumptions!$B$91</f>
        <v/>
      </c>
      <c r="I80" s="33">
        <f>'Annual Model'!F60+('Annual Model'!F22*((1+$A80)^(4-0.5)/'Annual Model'!F10-1))*(1-Assumptions!F$65-Assumptions!F$66-Assumptions!F$67-Assumptions!F$68-'Reno Schedule'!F$75)*(1-Assumptions!$B$74)-C80*Assumptions!$B$91</f>
        <v/>
      </c>
      <c r="J80" s="33">
        <f>'Annual Model'!G60+('Annual Model'!G22*((1+$A80)^(5-0.5)/'Annual Model'!G10-1))*(1-Assumptions!G$65-Assumptions!G$66-Assumptions!G$67-Assumptions!G$68-'Reno Schedule'!G$75)*(1-Assumptions!$B$74)-C80*Assumptions!$B$91+('Annual Model'!H51+'Annual Model'!H22*((1+$A80)^(6-0.5)/'Annual Model'!H10-1)*(1-Assumptions!G$65-Assumptions!G$66-Assumptions!G$67-Assumptions!G$68)*(1-Assumptions!$B$74))/$B80*(1-Assumptions!$B$15)-C80</f>
        <v/>
      </c>
      <c r="K80" s="89">
        <f>IRR(E80:J80)</f>
        <v/>
      </c>
      <c r="L80" s="78">
        <f>SUM(F80:J80)/-E80</f>
        <v/>
      </c>
    </row>
    <row r="81">
      <c r="A81" s="16" t="n">
        <v>0.02</v>
      </c>
      <c r="B81" s="88" t="n">
        <v>0.0675</v>
      </c>
      <c r="C81" s="33">
        <f>MIN((Assumptions!$B$6+(Assumptions!$B$56+'Capex Budget'!$B$14)*(1+Assumptions!$B$60))*Assumptions!$B$88,('Annual Model'!C51+('Annual Model'!C22*((1+$A81)^(1-0.5)/'Annual Model'!C10-1))*(1-Assumptions!C$65-Assumptions!C$66-Assumptions!C$67-Assumptions!C$68-'Reno Schedule'!C$75)*(1-Assumptions!$B$74))/Assumptions!$B$89,('Annual Model'!C51+('Annual Model'!C22*((1+$A81)^(1-0.5)/'Annual Model'!C10-1))*(1-Assumptions!C$65-Assumptions!C$66-Assumptions!C$67-Assumptions!C$68-'Reno Schedule'!C$75)*(1-Assumptions!$B$74))/(Assumptions!$B$90*Assumptions!$B$91))</f>
        <v/>
      </c>
      <c r="D81" s="33">
        <f>Assumptions!$B$6+(Assumptions!$B$56+'Capex Budget'!$B$14)*(1+Assumptions!$B$60)+Assumptions!$B$6*Assumptions!$B$11+C81*Assumptions!$B$92+Assumptions!$B$93-C81</f>
        <v/>
      </c>
      <c r="E81" s="33">
        <f>-D81</f>
        <v/>
      </c>
      <c r="F81" s="33">
        <f>'Annual Model'!C60+('Annual Model'!C22*((1+$A81)^(1-0.5)/'Annual Model'!C10-1))*(1-Assumptions!C$65-Assumptions!C$66-Assumptions!C$67-Assumptions!C$68-'Reno Schedule'!C$75)*(1-Assumptions!$B$74)-C81*Assumptions!$B$91</f>
        <v/>
      </c>
      <c r="G81" s="33">
        <f>'Annual Model'!D60+('Annual Model'!D22*((1+$A81)^(2-0.5)/'Annual Model'!D10-1))*(1-Assumptions!D$65-Assumptions!D$66-Assumptions!D$67-Assumptions!D$68-'Reno Schedule'!D$75)*(1-Assumptions!$B$74)-C81*Assumptions!$B$91</f>
        <v/>
      </c>
      <c r="H81" s="33">
        <f>'Annual Model'!E60+('Annual Model'!E22*((1+$A81)^(3-0.5)/'Annual Model'!E10-1))*(1-Assumptions!E$65-Assumptions!E$66-Assumptions!E$67-Assumptions!E$68-'Reno Schedule'!E$75)*(1-Assumptions!$B$74)-C81*Assumptions!$B$91</f>
        <v/>
      </c>
      <c r="I81" s="33">
        <f>'Annual Model'!F60+('Annual Model'!F22*((1+$A81)^(4-0.5)/'Annual Model'!F10-1))*(1-Assumptions!F$65-Assumptions!F$66-Assumptions!F$67-Assumptions!F$68-'Reno Schedule'!F$75)*(1-Assumptions!$B$74)-C81*Assumptions!$B$91</f>
        <v/>
      </c>
      <c r="J81" s="33">
        <f>'Annual Model'!G60+('Annual Model'!G22*((1+$A81)^(5-0.5)/'Annual Model'!G10-1))*(1-Assumptions!G$65-Assumptions!G$66-Assumptions!G$67-Assumptions!G$68-'Reno Schedule'!G$75)*(1-Assumptions!$B$74)-C81*Assumptions!$B$91+('Annual Model'!H51+'Annual Model'!H22*((1+$A81)^(6-0.5)/'Annual Model'!H10-1)*(1-Assumptions!G$65-Assumptions!G$66-Assumptions!G$67-Assumptions!G$68)*(1-Assumptions!$B$74))/$B81*(1-Assumptions!$B$15)-C81</f>
        <v/>
      </c>
      <c r="K81" s="89">
        <f>IRR(E81:J81)</f>
        <v/>
      </c>
      <c r="L81" s="78">
        <f>SUM(F81:J81)/-E81</f>
        <v/>
      </c>
    </row>
    <row r="82">
      <c r="A82" s="16" t="n">
        <v>0.02</v>
      </c>
      <c r="B82" s="88" t="n">
        <v>0.07000000000000001</v>
      </c>
      <c r="C82" s="33">
        <f>MIN((Assumptions!$B$6+(Assumptions!$B$56+'Capex Budget'!$B$14)*(1+Assumptions!$B$60))*Assumptions!$B$88,('Annual Model'!C51+('Annual Model'!C22*((1+$A82)^(1-0.5)/'Annual Model'!C10-1))*(1-Assumptions!C$65-Assumptions!C$66-Assumptions!C$67-Assumptions!C$68-'Reno Schedule'!C$75)*(1-Assumptions!$B$74))/Assumptions!$B$89,('Annual Model'!C51+('Annual Model'!C22*((1+$A82)^(1-0.5)/'Annual Model'!C10-1))*(1-Assumptions!C$65-Assumptions!C$66-Assumptions!C$67-Assumptions!C$68-'Reno Schedule'!C$75)*(1-Assumptions!$B$74))/(Assumptions!$B$90*Assumptions!$B$91))</f>
        <v/>
      </c>
      <c r="D82" s="33">
        <f>Assumptions!$B$6+(Assumptions!$B$56+'Capex Budget'!$B$14)*(1+Assumptions!$B$60)+Assumptions!$B$6*Assumptions!$B$11+C82*Assumptions!$B$92+Assumptions!$B$93-C82</f>
        <v/>
      </c>
      <c r="E82" s="33">
        <f>-D82</f>
        <v/>
      </c>
      <c r="F82" s="33">
        <f>'Annual Model'!C60+('Annual Model'!C22*((1+$A82)^(1-0.5)/'Annual Model'!C10-1))*(1-Assumptions!C$65-Assumptions!C$66-Assumptions!C$67-Assumptions!C$68-'Reno Schedule'!C$75)*(1-Assumptions!$B$74)-C82*Assumptions!$B$91</f>
        <v/>
      </c>
      <c r="G82" s="33">
        <f>'Annual Model'!D60+('Annual Model'!D22*((1+$A82)^(2-0.5)/'Annual Model'!D10-1))*(1-Assumptions!D$65-Assumptions!D$66-Assumptions!D$67-Assumptions!D$68-'Reno Schedule'!D$75)*(1-Assumptions!$B$74)-C82*Assumptions!$B$91</f>
        <v/>
      </c>
      <c r="H82" s="33">
        <f>'Annual Model'!E60+('Annual Model'!E22*((1+$A82)^(3-0.5)/'Annual Model'!E10-1))*(1-Assumptions!E$65-Assumptions!E$66-Assumptions!E$67-Assumptions!E$68-'Reno Schedule'!E$75)*(1-Assumptions!$B$74)-C82*Assumptions!$B$91</f>
        <v/>
      </c>
      <c r="I82" s="33">
        <f>'Annual Model'!F60+('Annual Model'!F22*((1+$A82)^(4-0.5)/'Annual Model'!F10-1))*(1-Assumptions!F$65-Assumptions!F$66-Assumptions!F$67-Assumptions!F$68-'Reno Schedule'!F$75)*(1-Assumptions!$B$74)-C82*Assumptions!$B$91</f>
        <v/>
      </c>
      <c r="J82" s="33">
        <f>'Annual Model'!G60+('Annual Model'!G22*((1+$A82)^(5-0.5)/'Annual Model'!G10-1))*(1-Assumptions!G$65-Assumptions!G$66-Assumptions!G$67-Assumptions!G$68-'Reno Schedule'!G$75)*(1-Assumptions!$B$74)-C82*Assumptions!$B$91+('Annual Model'!H51+'Annual Model'!H22*((1+$A82)^(6-0.5)/'Annual Model'!H10-1)*(1-Assumptions!G$65-Assumptions!G$66-Assumptions!G$67-Assumptions!G$68)*(1-Assumptions!$B$74))/$B82*(1-Assumptions!$B$15)-C82</f>
        <v/>
      </c>
      <c r="K82" s="89">
        <f>IRR(E82:J82)</f>
        <v/>
      </c>
      <c r="L82" s="78">
        <f>SUM(F82:J82)/-E82</f>
        <v/>
      </c>
    </row>
    <row r="83">
      <c r="A83" s="16" t="n">
        <v>0.02</v>
      </c>
      <c r="B83" s="88" t="n">
        <v>0.075</v>
      </c>
      <c r="C83" s="33">
        <f>MIN((Assumptions!$B$6+(Assumptions!$B$56+'Capex Budget'!$B$14)*(1+Assumptions!$B$60))*Assumptions!$B$88,('Annual Model'!C51+('Annual Model'!C22*((1+$A83)^(1-0.5)/'Annual Model'!C10-1))*(1-Assumptions!C$65-Assumptions!C$66-Assumptions!C$67-Assumptions!C$68-'Reno Schedule'!C$75)*(1-Assumptions!$B$74))/Assumptions!$B$89,('Annual Model'!C51+('Annual Model'!C22*((1+$A83)^(1-0.5)/'Annual Model'!C10-1))*(1-Assumptions!C$65-Assumptions!C$66-Assumptions!C$67-Assumptions!C$68-'Reno Schedule'!C$75)*(1-Assumptions!$B$74))/(Assumptions!$B$90*Assumptions!$B$91))</f>
        <v/>
      </c>
      <c r="D83" s="33">
        <f>Assumptions!$B$6+(Assumptions!$B$56+'Capex Budget'!$B$14)*(1+Assumptions!$B$60)+Assumptions!$B$6*Assumptions!$B$11+C83*Assumptions!$B$92+Assumptions!$B$93-C83</f>
        <v/>
      </c>
      <c r="E83" s="33">
        <f>-D83</f>
        <v/>
      </c>
      <c r="F83" s="33">
        <f>'Annual Model'!C60+('Annual Model'!C22*((1+$A83)^(1-0.5)/'Annual Model'!C10-1))*(1-Assumptions!C$65-Assumptions!C$66-Assumptions!C$67-Assumptions!C$68-'Reno Schedule'!C$75)*(1-Assumptions!$B$74)-C83*Assumptions!$B$91</f>
        <v/>
      </c>
      <c r="G83" s="33">
        <f>'Annual Model'!D60+('Annual Model'!D22*((1+$A83)^(2-0.5)/'Annual Model'!D10-1))*(1-Assumptions!D$65-Assumptions!D$66-Assumptions!D$67-Assumptions!D$68-'Reno Schedule'!D$75)*(1-Assumptions!$B$74)-C83*Assumptions!$B$91</f>
        <v/>
      </c>
      <c r="H83" s="33">
        <f>'Annual Model'!E60+('Annual Model'!E22*((1+$A83)^(3-0.5)/'Annual Model'!E10-1))*(1-Assumptions!E$65-Assumptions!E$66-Assumptions!E$67-Assumptions!E$68-'Reno Schedule'!E$75)*(1-Assumptions!$B$74)-C83*Assumptions!$B$91</f>
        <v/>
      </c>
      <c r="I83" s="33">
        <f>'Annual Model'!F60+('Annual Model'!F22*((1+$A83)^(4-0.5)/'Annual Model'!F10-1))*(1-Assumptions!F$65-Assumptions!F$66-Assumptions!F$67-Assumptions!F$68-'Reno Schedule'!F$75)*(1-Assumptions!$B$74)-C83*Assumptions!$B$91</f>
        <v/>
      </c>
      <c r="J83" s="33">
        <f>'Annual Model'!G60+('Annual Model'!G22*((1+$A83)^(5-0.5)/'Annual Model'!G10-1))*(1-Assumptions!G$65-Assumptions!G$66-Assumptions!G$67-Assumptions!G$68-'Reno Schedule'!G$75)*(1-Assumptions!$B$74)-C83*Assumptions!$B$91+('Annual Model'!H51+'Annual Model'!H22*((1+$A83)^(6-0.5)/'Annual Model'!H10-1)*(1-Assumptions!G$65-Assumptions!G$66-Assumptions!G$67-Assumptions!G$68)*(1-Assumptions!$B$74))/$B83*(1-Assumptions!$B$15)-C83</f>
        <v/>
      </c>
      <c r="K83" s="89">
        <f>IRR(E83:J83)</f>
        <v/>
      </c>
      <c r="L83" s="78">
        <f>SUM(F83:J83)/-E83</f>
        <v/>
      </c>
    </row>
    <row r="84">
      <c r="A84" s="16" t="n">
        <v>0.025</v>
      </c>
      <c r="B84" s="88" t="n">
        <v>0.06</v>
      </c>
      <c r="C84" s="33">
        <f>MIN((Assumptions!$B$6+(Assumptions!$B$56+'Capex Budget'!$B$14)*(1+Assumptions!$B$60))*Assumptions!$B$88,('Annual Model'!C51+('Annual Model'!C22*((1+$A84)^(1-0.5)/'Annual Model'!C10-1))*(1-Assumptions!C$65-Assumptions!C$66-Assumptions!C$67-Assumptions!C$68-'Reno Schedule'!C$75)*(1-Assumptions!$B$74))/Assumptions!$B$89,('Annual Model'!C51+('Annual Model'!C22*((1+$A84)^(1-0.5)/'Annual Model'!C10-1))*(1-Assumptions!C$65-Assumptions!C$66-Assumptions!C$67-Assumptions!C$68-'Reno Schedule'!C$75)*(1-Assumptions!$B$74))/(Assumptions!$B$90*Assumptions!$B$91))</f>
        <v/>
      </c>
      <c r="D84" s="33">
        <f>Assumptions!$B$6+(Assumptions!$B$56+'Capex Budget'!$B$14)*(1+Assumptions!$B$60)+Assumptions!$B$6*Assumptions!$B$11+C84*Assumptions!$B$92+Assumptions!$B$93-C84</f>
        <v/>
      </c>
      <c r="E84" s="33">
        <f>-D84</f>
        <v/>
      </c>
      <c r="F84" s="33">
        <f>'Annual Model'!C60+('Annual Model'!C22*((1+$A84)^(1-0.5)/'Annual Model'!C10-1))*(1-Assumptions!C$65-Assumptions!C$66-Assumptions!C$67-Assumptions!C$68-'Reno Schedule'!C$75)*(1-Assumptions!$B$74)-C84*Assumptions!$B$91</f>
        <v/>
      </c>
      <c r="G84" s="33">
        <f>'Annual Model'!D60+('Annual Model'!D22*((1+$A84)^(2-0.5)/'Annual Model'!D10-1))*(1-Assumptions!D$65-Assumptions!D$66-Assumptions!D$67-Assumptions!D$68-'Reno Schedule'!D$75)*(1-Assumptions!$B$74)-C84*Assumptions!$B$91</f>
        <v/>
      </c>
      <c r="H84" s="33">
        <f>'Annual Model'!E60+('Annual Model'!E22*((1+$A84)^(3-0.5)/'Annual Model'!E10-1))*(1-Assumptions!E$65-Assumptions!E$66-Assumptions!E$67-Assumptions!E$68-'Reno Schedule'!E$75)*(1-Assumptions!$B$74)-C84*Assumptions!$B$91</f>
        <v/>
      </c>
      <c r="I84" s="33">
        <f>'Annual Model'!F60+('Annual Model'!F22*((1+$A84)^(4-0.5)/'Annual Model'!F10-1))*(1-Assumptions!F$65-Assumptions!F$66-Assumptions!F$67-Assumptions!F$68-'Reno Schedule'!F$75)*(1-Assumptions!$B$74)-C84*Assumptions!$B$91</f>
        <v/>
      </c>
      <c r="J84" s="33">
        <f>'Annual Model'!G60+('Annual Model'!G22*((1+$A84)^(5-0.5)/'Annual Model'!G10-1))*(1-Assumptions!G$65-Assumptions!G$66-Assumptions!G$67-Assumptions!G$68-'Reno Schedule'!G$75)*(1-Assumptions!$B$74)-C84*Assumptions!$B$91+('Annual Model'!H51+'Annual Model'!H22*((1+$A84)^(6-0.5)/'Annual Model'!H10-1)*(1-Assumptions!G$65-Assumptions!G$66-Assumptions!G$67-Assumptions!G$68)*(1-Assumptions!$B$74))/$B84*(1-Assumptions!$B$15)-C84</f>
        <v/>
      </c>
      <c r="K84" s="89">
        <f>IRR(E84:J84)</f>
        <v/>
      </c>
      <c r="L84" s="78">
        <f>SUM(F84:J84)/-E84</f>
        <v/>
      </c>
    </row>
    <row r="85">
      <c r="A85" s="16" t="n">
        <v>0.025</v>
      </c>
      <c r="B85" s="88" t="n">
        <v>0.065</v>
      </c>
      <c r="C85" s="33">
        <f>MIN((Assumptions!$B$6+(Assumptions!$B$56+'Capex Budget'!$B$14)*(1+Assumptions!$B$60))*Assumptions!$B$88,('Annual Model'!C51+('Annual Model'!C22*((1+$A85)^(1-0.5)/'Annual Model'!C10-1))*(1-Assumptions!C$65-Assumptions!C$66-Assumptions!C$67-Assumptions!C$68-'Reno Schedule'!C$75)*(1-Assumptions!$B$74))/Assumptions!$B$89,('Annual Model'!C51+('Annual Model'!C22*((1+$A85)^(1-0.5)/'Annual Model'!C10-1))*(1-Assumptions!C$65-Assumptions!C$66-Assumptions!C$67-Assumptions!C$68-'Reno Schedule'!C$75)*(1-Assumptions!$B$74))/(Assumptions!$B$90*Assumptions!$B$91))</f>
        <v/>
      </c>
      <c r="D85" s="33">
        <f>Assumptions!$B$6+(Assumptions!$B$56+'Capex Budget'!$B$14)*(1+Assumptions!$B$60)+Assumptions!$B$6*Assumptions!$B$11+C85*Assumptions!$B$92+Assumptions!$B$93-C85</f>
        <v/>
      </c>
      <c r="E85" s="33">
        <f>-D85</f>
        <v/>
      </c>
      <c r="F85" s="33">
        <f>'Annual Model'!C60+('Annual Model'!C22*((1+$A85)^(1-0.5)/'Annual Model'!C10-1))*(1-Assumptions!C$65-Assumptions!C$66-Assumptions!C$67-Assumptions!C$68-'Reno Schedule'!C$75)*(1-Assumptions!$B$74)-C85*Assumptions!$B$91</f>
        <v/>
      </c>
      <c r="G85" s="33">
        <f>'Annual Model'!D60+('Annual Model'!D22*((1+$A85)^(2-0.5)/'Annual Model'!D10-1))*(1-Assumptions!D$65-Assumptions!D$66-Assumptions!D$67-Assumptions!D$68-'Reno Schedule'!D$75)*(1-Assumptions!$B$74)-C85*Assumptions!$B$91</f>
        <v/>
      </c>
      <c r="H85" s="33">
        <f>'Annual Model'!E60+('Annual Model'!E22*((1+$A85)^(3-0.5)/'Annual Model'!E10-1))*(1-Assumptions!E$65-Assumptions!E$66-Assumptions!E$67-Assumptions!E$68-'Reno Schedule'!E$75)*(1-Assumptions!$B$74)-C85*Assumptions!$B$91</f>
        <v/>
      </c>
      <c r="I85" s="33">
        <f>'Annual Model'!F60+('Annual Model'!F22*((1+$A85)^(4-0.5)/'Annual Model'!F10-1))*(1-Assumptions!F$65-Assumptions!F$66-Assumptions!F$67-Assumptions!F$68-'Reno Schedule'!F$75)*(1-Assumptions!$B$74)-C85*Assumptions!$B$91</f>
        <v/>
      </c>
      <c r="J85" s="33">
        <f>'Annual Model'!G60+('Annual Model'!G22*((1+$A85)^(5-0.5)/'Annual Model'!G10-1))*(1-Assumptions!G$65-Assumptions!G$66-Assumptions!G$67-Assumptions!G$68-'Reno Schedule'!G$75)*(1-Assumptions!$B$74)-C85*Assumptions!$B$91+('Annual Model'!H51+'Annual Model'!H22*((1+$A85)^(6-0.5)/'Annual Model'!H10-1)*(1-Assumptions!G$65-Assumptions!G$66-Assumptions!G$67-Assumptions!G$68)*(1-Assumptions!$B$74))/$B85*(1-Assumptions!$B$15)-C85</f>
        <v/>
      </c>
      <c r="K85" s="89">
        <f>IRR(E85:J85)</f>
        <v/>
      </c>
      <c r="L85" s="78">
        <f>SUM(F85:J85)/-E85</f>
        <v/>
      </c>
    </row>
    <row r="86">
      <c r="A86" s="16" t="n">
        <v>0.025</v>
      </c>
      <c r="B86" s="88" t="n">
        <v>0.0675</v>
      </c>
      <c r="C86" s="33">
        <f>MIN((Assumptions!$B$6+(Assumptions!$B$56+'Capex Budget'!$B$14)*(1+Assumptions!$B$60))*Assumptions!$B$88,('Annual Model'!C51+('Annual Model'!C22*((1+$A86)^(1-0.5)/'Annual Model'!C10-1))*(1-Assumptions!C$65-Assumptions!C$66-Assumptions!C$67-Assumptions!C$68-'Reno Schedule'!C$75)*(1-Assumptions!$B$74))/Assumptions!$B$89,('Annual Model'!C51+('Annual Model'!C22*((1+$A86)^(1-0.5)/'Annual Model'!C10-1))*(1-Assumptions!C$65-Assumptions!C$66-Assumptions!C$67-Assumptions!C$68-'Reno Schedule'!C$75)*(1-Assumptions!$B$74))/(Assumptions!$B$90*Assumptions!$B$91))</f>
        <v/>
      </c>
      <c r="D86" s="33">
        <f>Assumptions!$B$6+(Assumptions!$B$56+'Capex Budget'!$B$14)*(1+Assumptions!$B$60)+Assumptions!$B$6*Assumptions!$B$11+C86*Assumptions!$B$92+Assumptions!$B$93-C86</f>
        <v/>
      </c>
      <c r="E86" s="33">
        <f>-D86</f>
        <v/>
      </c>
      <c r="F86" s="33">
        <f>'Annual Model'!C60+('Annual Model'!C22*((1+$A86)^(1-0.5)/'Annual Model'!C10-1))*(1-Assumptions!C$65-Assumptions!C$66-Assumptions!C$67-Assumptions!C$68-'Reno Schedule'!C$75)*(1-Assumptions!$B$74)-C86*Assumptions!$B$91</f>
        <v/>
      </c>
      <c r="G86" s="33">
        <f>'Annual Model'!D60+('Annual Model'!D22*((1+$A86)^(2-0.5)/'Annual Model'!D10-1))*(1-Assumptions!D$65-Assumptions!D$66-Assumptions!D$67-Assumptions!D$68-'Reno Schedule'!D$75)*(1-Assumptions!$B$74)-C86*Assumptions!$B$91</f>
        <v/>
      </c>
      <c r="H86" s="33">
        <f>'Annual Model'!E60+('Annual Model'!E22*((1+$A86)^(3-0.5)/'Annual Model'!E10-1))*(1-Assumptions!E$65-Assumptions!E$66-Assumptions!E$67-Assumptions!E$68-'Reno Schedule'!E$75)*(1-Assumptions!$B$74)-C86*Assumptions!$B$91</f>
        <v/>
      </c>
      <c r="I86" s="33">
        <f>'Annual Model'!F60+('Annual Model'!F22*((1+$A86)^(4-0.5)/'Annual Model'!F10-1))*(1-Assumptions!F$65-Assumptions!F$66-Assumptions!F$67-Assumptions!F$68-'Reno Schedule'!F$75)*(1-Assumptions!$B$74)-C86*Assumptions!$B$91</f>
        <v/>
      </c>
      <c r="J86" s="33">
        <f>'Annual Model'!G60+('Annual Model'!G22*((1+$A86)^(5-0.5)/'Annual Model'!G10-1))*(1-Assumptions!G$65-Assumptions!G$66-Assumptions!G$67-Assumptions!G$68-'Reno Schedule'!G$75)*(1-Assumptions!$B$74)-C86*Assumptions!$B$91+('Annual Model'!H51+'Annual Model'!H22*((1+$A86)^(6-0.5)/'Annual Model'!H10-1)*(1-Assumptions!G$65-Assumptions!G$66-Assumptions!G$67-Assumptions!G$68)*(1-Assumptions!$B$74))/$B86*(1-Assumptions!$B$15)-C86</f>
        <v/>
      </c>
      <c r="K86" s="89">
        <f>IRR(E86:J86)</f>
        <v/>
      </c>
      <c r="L86" s="78">
        <f>SUM(F86:J86)/-E86</f>
        <v/>
      </c>
    </row>
    <row r="87">
      <c r="A87" s="16" t="n">
        <v>0.025</v>
      </c>
      <c r="B87" s="88" t="n">
        <v>0.07000000000000001</v>
      </c>
      <c r="C87" s="33">
        <f>MIN((Assumptions!$B$6+(Assumptions!$B$56+'Capex Budget'!$B$14)*(1+Assumptions!$B$60))*Assumptions!$B$88,('Annual Model'!C51+('Annual Model'!C22*((1+$A87)^(1-0.5)/'Annual Model'!C10-1))*(1-Assumptions!C$65-Assumptions!C$66-Assumptions!C$67-Assumptions!C$68-'Reno Schedule'!C$75)*(1-Assumptions!$B$74))/Assumptions!$B$89,('Annual Model'!C51+('Annual Model'!C22*((1+$A87)^(1-0.5)/'Annual Model'!C10-1))*(1-Assumptions!C$65-Assumptions!C$66-Assumptions!C$67-Assumptions!C$68-'Reno Schedule'!C$75)*(1-Assumptions!$B$74))/(Assumptions!$B$90*Assumptions!$B$91))</f>
        <v/>
      </c>
      <c r="D87" s="33">
        <f>Assumptions!$B$6+(Assumptions!$B$56+'Capex Budget'!$B$14)*(1+Assumptions!$B$60)+Assumptions!$B$6*Assumptions!$B$11+C87*Assumptions!$B$92+Assumptions!$B$93-C87</f>
        <v/>
      </c>
      <c r="E87" s="33">
        <f>-D87</f>
        <v/>
      </c>
      <c r="F87" s="33">
        <f>'Annual Model'!C60+('Annual Model'!C22*((1+$A87)^(1-0.5)/'Annual Model'!C10-1))*(1-Assumptions!C$65-Assumptions!C$66-Assumptions!C$67-Assumptions!C$68-'Reno Schedule'!C$75)*(1-Assumptions!$B$74)-C87*Assumptions!$B$91</f>
        <v/>
      </c>
      <c r="G87" s="33">
        <f>'Annual Model'!D60+('Annual Model'!D22*((1+$A87)^(2-0.5)/'Annual Model'!D10-1))*(1-Assumptions!D$65-Assumptions!D$66-Assumptions!D$67-Assumptions!D$68-'Reno Schedule'!D$75)*(1-Assumptions!$B$74)-C87*Assumptions!$B$91</f>
        <v/>
      </c>
      <c r="H87" s="33">
        <f>'Annual Model'!E60+('Annual Model'!E22*((1+$A87)^(3-0.5)/'Annual Model'!E10-1))*(1-Assumptions!E$65-Assumptions!E$66-Assumptions!E$67-Assumptions!E$68-'Reno Schedule'!E$75)*(1-Assumptions!$B$74)-C87*Assumptions!$B$91</f>
        <v/>
      </c>
      <c r="I87" s="33">
        <f>'Annual Model'!F60+('Annual Model'!F22*((1+$A87)^(4-0.5)/'Annual Model'!F10-1))*(1-Assumptions!F$65-Assumptions!F$66-Assumptions!F$67-Assumptions!F$68-'Reno Schedule'!F$75)*(1-Assumptions!$B$74)-C87*Assumptions!$B$91</f>
        <v/>
      </c>
      <c r="J87" s="33">
        <f>'Annual Model'!G60+('Annual Model'!G22*((1+$A87)^(5-0.5)/'Annual Model'!G10-1))*(1-Assumptions!G$65-Assumptions!G$66-Assumptions!G$67-Assumptions!G$68-'Reno Schedule'!G$75)*(1-Assumptions!$B$74)-C87*Assumptions!$B$91+('Annual Model'!H51+'Annual Model'!H22*((1+$A87)^(6-0.5)/'Annual Model'!H10-1)*(1-Assumptions!G$65-Assumptions!G$66-Assumptions!G$67-Assumptions!G$68)*(1-Assumptions!$B$74))/$B87*(1-Assumptions!$B$15)-C87</f>
        <v/>
      </c>
      <c r="K87" s="89">
        <f>IRR(E87:J87)</f>
        <v/>
      </c>
      <c r="L87" s="78">
        <f>SUM(F87:J87)/-E87</f>
        <v/>
      </c>
    </row>
    <row r="88">
      <c r="A88" s="16" t="n">
        <v>0.025</v>
      </c>
      <c r="B88" s="88" t="n">
        <v>0.075</v>
      </c>
      <c r="C88" s="33">
        <f>MIN((Assumptions!$B$6+(Assumptions!$B$56+'Capex Budget'!$B$14)*(1+Assumptions!$B$60))*Assumptions!$B$88,('Annual Model'!C51+('Annual Model'!C22*((1+$A88)^(1-0.5)/'Annual Model'!C10-1))*(1-Assumptions!C$65-Assumptions!C$66-Assumptions!C$67-Assumptions!C$68-'Reno Schedule'!C$75)*(1-Assumptions!$B$74))/Assumptions!$B$89,('Annual Model'!C51+('Annual Model'!C22*((1+$A88)^(1-0.5)/'Annual Model'!C10-1))*(1-Assumptions!C$65-Assumptions!C$66-Assumptions!C$67-Assumptions!C$68-'Reno Schedule'!C$75)*(1-Assumptions!$B$74))/(Assumptions!$B$90*Assumptions!$B$91))</f>
        <v/>
      </c>
      <c r="D88" s="33">
        <f>Assumptions!$B$6+(Assumptions!$B$56+'Capex Budget'!$B$14)*(1+Assumptions!$B$60)+Assumptions!$B$6*Assumptions!$B$11+C88*Assumptions!$B$92+Assumptions!$B$93-C88</f>
        <v/>
      </c>
      <c r="E88" s="33">
        <f>-D88</f>
        <v/>
      </c>
      <c r="F88" s="33">
        <f>'Annual Model'!C60+('Annual Model'!C22*((1+$A88)^(1-0.5)/'Annual Model'!C10-1))*(1-Assumptions!C$65-Assumptions!C$66-Assumptions!C$67-Assumptions!C$68-'Reno Schedule'!C$75)*(1-Assumptions!$B$74)-C88*Assumptions!$B$91</f>
        <v/>
      </c>
      <c r="G88" s="33">
        <f>'Annual Model'!D60+('Annual Model'!D22*((1+$A88)^(2-0.5)/'Annual Model'!D10-1))*(1-Assumptions!D$65-Assumptions!D$66-Assumptions!D$67-Assumptions!D$68-'Reno Schedule'!D$75)*(1-Assumptions!$B$74)-C88*Assumptions!$B$91</f>
        <v/>
      </c>
      <c r="H88" s="33">
        <f>'Annual Model'!E60+('Annual Model'!E22*((1+$A88)^(3-0.5)/'Annual Model'!E10-1))*(1-Assumptions!E$65-Assumptions!E$66-Assumptions!E$67-Assumptions!E$68-'Reno Schedule'!E$75)*(1-Assumptions!$B$74)-C88*Assumptions!$B$91</f>
        <v/>
      </c>
      <c r="I88" s="33">
        <f>'Annual Model'!F60+('Annual Model'!F22*((1+$A88)^(4-0.5)/'Annual Model'!F10-1))*(1-Assumptions!F$65-Assumptions!F$66-Assumptions!F$67-Assumptions!F$68-'Reno Schedule'!F$75)*(1-Assumptions!$B$74)-C88*Assumptions!$B$91</f>
        <v/>
      </c>
      <c r="J88" s="33">
        <f>'Annual Model'!G60+('Annual Model'!G22*((1+$A88)^(5-0.5)/'Annual Model'!G10-1))*(1-Assumptions!G$65-Assumptions!G$66-Assumptions!G$67-Assumptions!G$68-'Reno Schedule'!G$75)*(1-Assumptions!$B$74)-C88*Assumptions!$B$91+('Annual Model'!H51+'Annual Model'!H22*((1+$A88)^(6-0.5)/'Annual Model'!H10-1)*(1-Assumptions!G$65-Assumptions!G$66-Assumptions!G$67-Assumptions!G$68)*(1-Assumptions!$B$74))/$B88*(1-Assumptions!$B$15)-C88</f>
        <v/>
      </c>
      <c r="K88" s="89">
        <f>IRR(E88:J88)</f>
        <v/>
      </c>
      <c r="L88" s="78">
        <f>SUM(F88:J88)/-E88</f>
        <v/>
      </c>
    </row>
    <row r="89">
      <c r="A89" s="16" t="n">
        <v>0.03</v>
      </c>
      <c r="B89" s="88" t="n">
        <v>0.06</v>
      </c>
      <c r="C89" s="33">
        <f>MIN((Assumptions!$B$6+(Assumptions!$B$56+'Capex Budget'!$B$14)*(1+Assumptions!$B$60))*Assumptions!$B$88,('Annual Model'!C51+('Annual Model'!C22*((1+$A89)^(1-0.5)/'Annual Model'!C10-1))*(1-Assumptions!C$65-Assumptions!C$66-Assumptions!C$67-Assumptions!C$68-'Reno Schedule'!C$75)*(1-Assumptions!$B$74))/Assumptions!$B$89,('Annual Model'!C51+('Annual Model'!C22*((1+$A89)^(1-0.5)/'Annual Model'!C10-1))*(1-Assumptions!C$65-Assumptions!C$66-Assumptions!C$67-Assumptions!C$68-'Reno Schedule'!C$75)*(1-Assumptions!$B$74))/(Assumptions!$B$90*Assumptions!$B$91))</f>
        <v/>
      </c>
      <c r="D89" s="33">
        <f>Assumptions!$B$6+(Assumptions!$B$56+'Capex Budget'!$B$14)*(1+Assumptions!$B$60)+Assumptions!$B$6*Assumptions!$B$11+C89*Assumptions!$B$92+Assumptions!$B$93-C89</f>
        <v/>
      </c>
      <c r="E89" s="33">
        <f>-D89</f>
        <v/>
      </c>
      <c r="F89" s="33">
        <f>'Annual Model'!C60+('Annual Model'!C22*((1+$A89)^(1-0.5)/'Annual Model'!C10-1))*(1-Assumptions!C$65-Assumptions!C$66-Assumptions!C$67-Assumptions!C$68-'Reno Schedule'!C$75)*(1-Assumptions!$B$74)-C89*Assumptions!$B$91</f>
        <v/>
      </c>
      <c r="G89" s="33">
        <f>'Annual Model'!D60+('Annual Model'!D22*((1+$A89)^(2-0.5)/'Annual Model'!D10-1))*(1-Assumptions!D$65-Assumptions!D$66-Assumptions!D$67-Assumptions!D$68-'Reno Schedule'!D$75)*(1-Assumptions!$B$74)-C89*Assumptions!$B$91</f>
        <v/>
      </c>
      <c r="H89" s="33">
        <f>'Annual Model'!E60+('Annual Model'!E22*((1+$A89)^(3-0.5)/'Annual Model'!E10-1))*(1-Assumptions!E$65-Assumptions!E$66-Assumptions!E$67-Assumptions!E$68-'Reno Schedule'!E$75)*(1-Assumptions!$B$74)-C89*Assumptions!$B$91</f>
        <v/>
      </c>
      <c r="I89" s="33">
        <f>'Annual Model'!F60+('Annual Model'!F22*((1+$A89)^(4-0.5)/'Annual Model'!F10-1))*(1-Assumptions!F$65-Assumptions!F$66-Assumptions!F$67-Assumptions!F$68-'Reno Schedule'!F$75)*(1-Assumptions!$B$74)-C89*Assumptions!$B$91</f>
        <v/>
      </c>
      <c r="J89" s="33">
        <f>'Annual Model'!G60+('Annual Model'!G22*((1+$A89)^(5-0.5)/'Annual Model'!G10-1))*(1-Assumptions!G$65-Assumptions!G$66-Assumptions!G$67-Assumptions!G$68-'Reno Schedule'!G$75)*(1-Assumptions!$B$74)-C89*Assumptions!$B$91+('Annual Model'!H51+'Annual Model'!H22*((1+$A89)^(6-0.5)/'Annual Model'!H10-1)*(1-Assumptions!G$65-Assumptions!G$66-Assumptions!G$67-Assumptions!G$68)*(1-Assumptions!$B$74))/$B89*(1-Assumptions!$B$15)-C89</f>
        <v/>
      </c>
      <c r="K89" s="89">
        <f>IRR(E89:J89)</f>
        <v/>
      </c>
      <c r="L89" s="78">
        <f>SUM(F89:J89)/-E89</f>
        <v/>
      </c>
    </row>
    <row r="90">
      <c r="A90" s="16" t="n">
        <v>0.03</v>
      </c>
      <c r="B90" s="88" t="n">
        <v>0.065</v>
      </c>
      <c r="C90" s="33">
        <f>MIN((Assumptions!$B$6+(Assumptions!$B$56+'Capex Budget'!$B$14)*(1+Assumptions!$B$60))*Assumptions!$B$88,('Annual Model'!C51+('Annual Model'!C22*((1+$A90)^(1-0.5)/'Annual Model'!C10-1))*(1-Assumptions!C$65-Assumptions!C$66-Assumptions!C$67-Assumptions!C$68-'Reno Schedule'!C$75)*(1-Assumptions!$B$74))/Assumptions!$B$89,('Annual Model'!C51+('Annual Model'!C22*((1+$A90)^(1-0.5)/'Annual Model'!C10-1))*(1-Assumptions!C$65-Assumptions!C$66-Assumptions!C$67-Assumptions!C$68-'Reno Schedule'!C$75)*(1-Assumptions!$B$74))/(Assumptions!$B$90*Assumptions!$B$91))</f>
        <v/>
      </c>
      <c r="D90" s="33">
        <f>Assumptions!$B$6+(Assumptions!$B$56+'Capex Budget'!$B$14)*(1+Assumptions!$B$60)+Assumptions!$B$6*Assumptions!$B$11+C90*Assumptions!$B$92+Assumptions!$B$93-C90</f>
        <v/>
      </c>
      <c r="E90" s="33">
        <f>-D90</f>
        <v/>
      </c>
      <c r="F90" s="33">
        <f>'Annual Model'!C60+('Annual Model'!C22*((1+$A90)^(1-0.5)/'Annual Model'!C10-1))*(1-Assumptions!C$65-Assumptions!C$66-Assumptions!C$67-Assumptions!C$68-'Reno Schedule'!C$75)*(1-Assumptions!$B$74)-C90*Assumptions!$B$91</f>
        <v/>
      </c>
      <c r="G90" s="33">
        <f>'Annual Model'!D60+('Annual Model'!D22*((1+$A90)^(2-0.5)/'Annual Model'!D10-1))*(1-Assumptions!D$65-Assumptions!D$66-Assumptions!D$67-Assumptions!D$68-'Reno Schedule'!D$75)*(1-Assumptions!$B$74)-C90*Assumptions!$B$91</f>
        <v/>
      </c>
      <c r="H90" s="33">
        <f>'Annual Model'!E60+('Annual Model'!E22*((1+$A90)^(3-0.5)/'Annual Model'!E10-1))*(1-Assumptions!E$65-Assumptions!E$66-Assumptions!E$67-Assumptions!E$68-'Reno Schedule'!E$75)*(1-Assumptions!$B$74)-C90*Assumptions!$B$91</f>
        <v/>
      </c>
      <c r="I90" s="33">
        <f>'Annual Model'!F60+('Annual Model'!F22*((1+$A90)^(4-0.5)/'Annual Model'!F10-1))*(1-Assumptions!F$65-Assumptions!F$66-Assumptions!F$67-Assumptions!F$68-'Reno Schedule'!F$75)*(1-Assumptions!$B$74)-C90*Assumptions!$B$91</f>
        <v/>
      </c>
      <c r="J90" s="33">
        <f>'Annual Model'!G60+('Annual Model'!G22*((1+$A90)^(5-0.5)/'Annual Model'!G10-1))*(1-Assumptions!G$65-Assumptions!G$66-Assumptions!G$67-Assumptions!G$68-'Reno Schedule'!G$75)*(1-Assumptions!$B$74)-C90*Assumptions!$B$91+('Annual Model'!H51+'Annual Model'!H22*((1+$A90)^(6-0.5)/'Annual Model'!H10-1)*(1-Assumptions!G$65-Assumptions!G$66-Assumptions!G$67-Assumptions!G$68)*(1-Assumptions!$B$74))/$B90*(1-Assumptions!$B$15)-C90</f>
        <v/>
      </c>
      <c r="K90" s="89">
        <f>IRR(E90:J90)</f>
        <v/>
      </c>
      <c r="L90" s="78">
        <f>SUM(F90:J90)/-E90</f>
        <v/>
      </c>
    </row>
    <row r="91">
      <c r="A91" s="16" t="n">
        <v>0.03</v>
      </c>
      <c r="B91" s="88" t="n">
        <v>0.0675</v>
      </c>
      <c r="C91" s="33">
        <f>MIN((Assumptions!$B$6+(Assumptions!$B$56+'Capex Budget'!$B$14)*(1+Assumptions!$B$60))*Assumptions!$B$88,('Annual Model'!C51+('Annual Model'!C22*((1+$A91)^(1-0.5)/'Annual Model'!C10-1))*(1-Assumptions!C$65-Assumptions!C$66-Assumptions!C$67-Assumptions!C$68-'Reno Schedule'!C$75)*(1-Assumptions!$B$74))/Assumptions!$B$89,('Annual Model'!C51+('Annual Model'!C22*((1+$A91)^(1-0.5)/'Annual Model'!C10-1))*(1-Assumptions!C$65-Assumptions!C$66-Assumptions!C$67-Assumptions!C$68-'Reno Schedule'!C$75)*(1-Assumptions!$B$74))/(Assumptions!$B$90*Assumptions!$B$91))</f>
        <v/>
      </c>
      <c r="D91" s="33">
        <f>Assumptions!$B$6+(Assumptions!$B$56+'Capex Budget'!$B$14)*(1+Assumptions!$B$60)+Assumptions!$B$6*Assumptions!$B$11+C91*Assumptions!$B$92+Assumptions!$B$93-C91</f>
        <v/>
      </c>
      <c r="E91" s="33">
        <f>-D91</f>
        <v/>
      </c>
      <c r="F91" s="33">
        <f>'Annual Model'!C60+('Annual Model'!C22*((1+$A91)^(1-0.5)/'Annual Model'!C10-1))*(1-Assumptions!C$65-Assumptions!C$66-Assumptions!C$67-Assumptions!C$68-'Reno Schedule'!C$75)*(1-Assumptions!$B$74)-C91*Assumptions!$B$91</f>
        <v/>
      </c>
      <c r="G91" s="33">
        <f>'Annual Model'!D60+('Annual Model'!D22*((1+$A91)^(2-0.5)/'Annual Model'!D10-1))*(1-Assumptions!D$65-Assumptions!D$66-Assumptions!D$67-Assumptions!D$68-'Reno Schedule'!D$75)*(1-Assumptions!$B$74)-C91*Assumptions!$B$91</f>
        <v/>
      </c>
      <c r="H91" s="33">
        <f>'Annual Model'!E60+('Annual Model'!E22*((1+$A91)^(3-0.5)/'Annual Model'!E10-1))*(1-Assumptions!E$65-Assumptions!E$66-Assumptions!E$67-Assumptions!E$68-'Reno Schedule'!E$75)*(1-Assumptions!$B$74)-C91*Assumptions!$B$91</f>
        <v/>
      </c>
      <c r="I91" s="33">
        <f>'Annual Model'!F60+('Annual Model'!F22*((1+$A91)^(4-0.5)/'Annual Model'!F10-1))*(1-Assumptions!F$65-Assumptions!F$66-Assumptions!F$67-Assumptions!F$68-'Reno Schedule'!F$75)*(1-Assumptions!$B$74)-C91*Assumptions!$B$91</f>
        <v/>
      </c>
      <c r="J91" s="33">
        <f>'Annual Model'!G60+('Annual Model'!G22*((1+$A91)^(5-0.5)/'Annual Model'!G10-1))*(1-Assumptions!G$65-Assumptions!G$66-Assumptions!G$67-Assumptions!G$68-'Reno Schedule'!G$75)*(1-Assumptions!$B$74)-C91*Assumptions!$B$91+('Annual Model'!H51+'Annual Model'!H22*((1+$A91)^(6-0.5)/'Annual Model'!H10-1)*(1-Assumptions!G$65-Assumptions!G$66-Assumptions!G$67-Assumptions!G$68)*(1-Assumptions!$B$74))/$B91*(1-Assumptions!$B$15)-C91</f>
        <v/>
      </c>
      <c r="K91" s="89">
        <f>IRR(E91:J91)</f>
        <v/>
      </c>
      <c r="L91" s="78">
        <f>SUM(F91:J91)/-E91</f>
        <v/>
      </c>
    </row>
    <row r="92">
      <c r="A92" s="16" t="n">
        <v>0.03</v>
      </c>
      <c r="B92" s="88" t="n">
        <v>0.07000000000000001</v>
      </c>
      <c r="C92" s="33">
        <f>MIN((Assumptions!$B$6+(Assumptions!$B$56+'Capex Budget'!$B$14)*(1+Assumptions!$B$60))*Assumptions!$B$88,('Annual Model'!C51+('Annual Model'!C22*((1+$A92)^(1-0.5)/'Annual Model'!C10-1))*(1-Assumptions!C$65-Assumptions!C$66-Assumptions!C$67-Assumptions!C$68-'Reno Schedule'!C$75)*(1-Assumptions!$B$74))/Assumptions!$B$89,('Annual Model'!C51+('Annual Model'!C22*((1+$A92)^(1-0.5)/'Annual Model'!C10-1))*(1-Assumptions!C$65-Assumptions!C$66-Assumptions!C$67-Assumptions!C$68-'Reno Schedule'!C$75)*(1-Assumptions!$B$74))/(Assumptions!$B$90*Assumptions!$B$91))</f>
        <v/>
      </c>
      <c r="D92" s="33">
        <f>Assumptions!$B$6+(Assumptions!$B$56+'Capex Budget'!$B$14)*(1+Assumptions!$B$60)+Assumptions!$B$6*Assumptions!$B$11+C92*Assumptions!$B$92+Assumptions!$B$93-C92</f>
        <v/>
      </c>
      <c r="E92" s="33">
        <f>-D92</f>
        <v/>
      </c>
      <c r="F92" s="33">
        <f>'Annual Model'!C60+('Annual Model'!C22*((1+$A92)^(1-0.5)/'Annual Model'!C10-1))*(1-Assumptions!C$65-Assumptions!C$66-Assumptions!C$67-Assumptions!C$68-'Reno Schedule'!C$75)*(1-Assumptions!$B$74)-C92*Assumptions!$B$91</f>
        <v/>
      </c>
      <c r="G92" s="33">
        <f>'Annual Model'!D60+('Annual Model'!D22*((1+$A92)^(2-0.5)/'Annual Model'!D10-1))*(1-Assumptions!D$65-Assumptions!D$66-Assumptions!D$67-Assumptions!D$68-'Reno Schedule'!D$75)*(1-Assumptions!$B$74)-C92*Assumptions!$B$91</f>
        <v/>
      </c>
      <c r="H92" s="33">
        <f>'Annual Model'!E60+('Annual Model'!E22*((1+$A92)^(3-0.5)/'Annual Model'!E10-1))*(1-Assumptions!E$65-Assumptions!E$66-Assumptions!E$67-Assumptions!E$68-'Reno Schedule'!E$75)*(1-Assumptions!$B$74)-C92*Assumptions!$B$91</f>
        <v/>
      </c>
      <c r="I92" s="33">
        <f>'Annual Model'!F60+('Annual Model'!F22*((1+$A92)^(4-0.5)/'Annual Model'!F10-1))*(1-Assumptions!F$65-Assumptions!F$66-Assumptions!F$67-Assumptions!F$68-'Reno Schedule'!F$75)*(1-Assumptions!$B$74)-C92*Assumptions!$B$91</f>
        <v/>
      </c>
      <c r="J92" s="33">
        <f>'Annual Model'!G60+('Annual Model'!G22*((1+$A92)^(5-0.5)/'Annual Model'!G10-1))*(1-Assumptions!G$65-Assumptions!G$66-Assumptions!G$67-Assumptions!G$68-'Reno Schedule'!G$75)*(1-Assumptions!$B$74)-C92*Assumptions!$B$91+('Annual Model'!H51+'Annual Model'!H22*((1+$A92)^(6-0.5)/'Annual Model'!H10-1)*(1-Assumptions!G$65-Assumptions!G$66-Assumptions!G$67-Assumptions!G$68)*(1-Assumptions!$B$74))/$B92*(1-Assumptions!$B$15)-C92</f>
        <v/>
      </c>
      <c r="K92" s="89">
        <f>IRR(E92:J92)</f>
        <v/>
      </c>
      <c r="L92" s="78">
        <f>SUM(F92:J92)/-E92</f>
        <v/>
      </c>
    </row>
    <row r="93">
      <c r="A93" s="16" t="n">
        <v>0.03</v>
      </c>
      <c r="B93" s="88" t="n">
        <v>0.075</v>
      </c>
      <c r="C93" s="33">
        <f>MIN((Assumptions!$B$6+(Assumptions!$B$56+'Capex Budget'!$B$14)*(1+Assumptions!$B$60))*Assumptions!$B$88,('Annual Model'!C51+('Annual Model'!C22*((1+$A93)^(1-0.5)/'Annual Model'!C10-1))*(1-Assumptions!C$65-Assumptions!C$66-Assumptions!C$67-Assumptions!C$68-'Reno Schedule'!C$75)*(1-Assumptions!$B$74))/Assumptions!$B$89,('Annual Model'!C51+('Annual Model'!C22*((1+$A93)^(1-0.5)/'Annual Model'!C10-1))*(1-Assumptions!C$65-Assumptions!C$66-Assumptions!C$67-Assumptions!C$68-'Reno Schedule'!C$75)*(1-Assumptions!$B$74))/(Assumptions!$B$90*Assumptions!$B$91))</f>
        <v/>
      </c>
      <c r="D93" s="33">
        <f>Assumptions!$B$6+(Assumptions!$B$56+'Capex Budget'!$B$14)*(1+Assumptions!$B$60)+Assumptions!$B$6*Assumptions!$B$11+C93*Assumptions!$B$92+Assumptions!$B$93-C93</f>
        <v/>
      </c>
      <c r="E93" s="33">
        <f>-D93</f>
        <v/>
      </c>
      <c r="F93" s="33">
        <f>'Annual Model'!C60+('Annual Model'!C22*((1+$A93)^(1-0.5)/'Annual Model'!C10-1))*(1-Assumptions!C$65-Assumptions!C$66-Assumptions!C$67-Assumptions!C$68-'Reno Schedule'!C$75)*(1-Assumptions!$B$74)-C93*Assumptions!$B$91</f>
        <v/>
      </c>
      <c r="G93" s="33">
        <f>'Annual Model'!D60+('Annual Model'!D22*((1+$A93)^(2-0.5)/'Annual Model'!D10-1))*(1-Assumptions!D$65-Assumptions!D$66-Assumptions!D$67-Assumptions!D$68-'Reno Schedule'!D$75)*(1-Assumptions!$B$74)-C93*Assumptions!$B$91</f>
        <v/>
      </c>
      <c r="H93" s="33">
        <f>'Annual Model'!E60+('Annual Model'!E22*((1+$A93)^(3-0.5)/'Annual Model'!E10-1))*(1-Assumptions!E$65-Assumptions!E$66-Assumptions!E$67-Assumptions!E$68-'Reno Schedule'!E$75)*(1-Assumptions!$B$74)-C93*Assumptions!$B$91</f>
        <v/>
      </c>
      <c r="I93" s="33">
        <f>'Annual Model'!F60+('Annual Model'!F22*((1+$A93)^(4-0.5)/'Annual Model'!F10-1))*(1-Assumptions!F$65-Assumptions!F$66-Assumptions!F$67-Assumptions!F$68-'Reno Schedule'!F$75)*(1-Assumptions!$B$74)-C93*Assumptions!$B$91</f>
        <v/>
      </c>
      <c r="J93" s="33">
        <f>'Annual Model'!G60+('Annual Model'!G22*((1+$A93)^(5-0.5)/'Annual Model'!G10-1))*(1-Assumptions!G$65-Assumptions!G$66-Assumptions!G$67-Assumptions!G$68-'Reno Schedule'!G$75)*(1-Assumptions!$B$74)-C93*Assumptions!$B$91+('Annual Model'!H51+'Annual Model'!H22*((1+$A93)^(6-0.5)/'Annual Model'!H10-1)*(1-Assumptions!G$65-Assumptions!G$66-Assumptions!G$67-Assumptions!G$68)*(1-Assumptions!$B$74))/$B93*(1-Assumptions!$B$15)-C93</f>
        <v/>
      </c>
      <c r="K93" s="89">
        <f>IRR(E93:J93)</f>
        <v/>
      </c>
      <c r="L93" s="78">
        <f>SUM(F93:J93)/-E93</f>
        <v/>
      </c>
    </row>
    <row r="94">
      <c r="A94" s="16" t="n">
        <v>0.035</v>
      </c>
      <c r="B94" s="88" t="n">
        <v>0.06</v>
      </c>
      <c r="C94" s="33">
        <f>MIN((Assumptions!$B$6+(Assumptions!$B$56+'Capex Budget'!$B$14)*(1+Assumptions!$B$60))*Assumptions!$B$88,('Annual Model'!C51+('Annual Model'!C22*((1+$A94)^(1-0.5)/'Annual Model'!C10-1))*(1-Assumptions!C$65-Assumptions!C$66-Assumptions!C$67-Assumptions!C$68-'Reno Schedule'!C$75)*(1-Assumptions!$B$74))/Assumptions!$B$89,('Annual Model'!C51+('Annual Model'!C22*((1+$A94)^(1-0.5)/'Annual Model'!C10-1))*(1-Assumptions!C$65-Assumptions!C$66-Assumptions!C$67-Assumptions!C$68-'Reno Schedule'!C$75)*(1-Assumptions!$B$74))/(Assumptions!$B$90*Assumptions!$B$91))</f>
        <v/>
      </c>
      <c r="D94" s="33">
        <f>Assumptions!$B$6+(Assumptions!$B$56+'Capex Budget'!$B$14)*(1+Assumptions!$B$60)+Assumptions!$B$6*Assumptions!$B$11+C94*Assumptions!$B$92+Assumptions!$B$93-C94</f>
        <v/>
      </c>
      <c r="E94" s="33">
        <f>-D94</f>
        <v/>
      </c>
      <c r="F94" s="33">
        <f>'Annual Model'!C60+('Annual Model'!C22*((1+$A94)^(1-0.5)/'Annual Model'!C10-1))*(1-Assumptions!C$65-Assumptions!C$66-Assumptions!C$67-Assumptions!C$68-'Reno Schedule'!C$75)*(1-Assumptions!$B$74)-C94*Assumptions!$B$91</f>
        <v/>
      </c>
      <c r="G94" s="33">
        <f>'Annual Model'!D60+('Annual Model'!D22*((1+$A94)^(2-0.5)/'Annual Model'!D10-1))*(1-Assumptions!D$65-Assumptions!D$66-Assumptions!D$67-Assumptions!D$68-'Reno Schedule'!D$75)*(1-Assumptions!$B$74)-C94*Assumptions!$B$91</f>
        <v/>
      </c>
      <c r="H94" s="33">
        <f>'Annual Model'!E60+('Annual Model'!E22*((1+$A94)^(3-0.5)/'Annual Model'!E10-1))*(1-Assumptions!E$65-Assumptions!E$66-Assumptions!E$67-Assumptions!E$68-'Reno Schedule'!E$75)*(1-Assumptions!$B$74)-C94*Assumptions!$B$91</f>
        <v/>
      </c>
      <c r="I94" s="33">
        <f>'Annual Model'!F60+('Annual Model'!F22*((1+$A94)^(4-0.5)/'Annual Model'!F10-1))*(1-Assumptions!F$65-Assumptions!F$66-Assumptions!F$67-Assumptions!F$68-'Reno Schedule'!F$75)*(1-Assumptions!$B$74)-C94*Assumptions!$B$91</f>
        <v/>
      </c>
      <c r="J94" s="33">
        <f>'Annual Model'!G60+('Annual Model'!G22*((1+$A94)^(5-0.5)/'Annual Model'!G10-1))*(1-Assumptions!G$65-Assumptions!G$66-Assumptions!G$67-Assumptions!G$68-'Reno Schedule'!G$75)*(1-Assumptions!$B$74)-C94*Assumptions!$B$91+('Annual Model'!H51+'Annual Model'!H22*((1+$A94)^(6-0.5)/'Annual Model'!H10-1)*(1-Assumptions!G$65-Assumptions!G$66-Assumptions!G$67-Assumptions!G$68)*(1-Assumptions!$B$74))/$B94*(1-Assumptions!$B$15)-C94</f>
        <v/>
      </c>
      <c r="K94" s="89">
        <f>IRR(E94:J94)</f>
        <v/>
      </c>
      <c r="L94" s="78">
        <f>SUM(F94:J94)/-E94</f>
        <v/>
      </c>
    </row>
    <row r="95">
      <c r="A95" s="16" t="n">
        <v>0.035</v>
      </c>
      <c r="B95" s="88" t="n">
        <v>0.065</v>
      </c>
      <c r="C95" s="33">
        <f>MIN((Assumptions!$B$6+(Assumptions!$B$56+'Capex Budget'!$B$14)*(1+Assumptions!$B$60))*Assumptions!$B$88,('Annual Model'!C51+('Annual Model'!C22*((1+$A95)^(1-0.5)/'Annual Model'!C10-1))*(1-Assumptions!C$65-Assumptions!C$66-Assumptions!C$67-Assumptions!C$68-'Reno Schedule'!C$75)*(1-Assumptions!$B$74))/Assumptions!$B$89,('Annual Model'!C51+('Annual Model'!C22*((1+$A95)^(1-0.5)/'Annual Model'!C10-1))*(1-Assumptions!C$65-Assumptions!C$66-Assumptions!C$67-Assumptions!C$68-'Reno Schedule'!C$75)*(1-Assumptions!$B$74))/(Assumptions!$B$90*Assumptions!$B$91))</f>
        <v/>
      </c>
      <c r="D95" s="33">
        <f>Assumptions!$B$6+(Assumptions!$B$56+'Capex Budget'!$B$14)*(1+Assumptions!$B$60)+Assumptions!$B$6*Assumptions!$B$11+C95*Assumptions!$B$92+Assumptions!$B$93-C95</f>
        <v/>
      </c>
      <c r="E95" s="33">
        <f>-D95</f>
        <v/>
      </c>
      <c r="F95" s="33">
        <f>'Annual Model'!C60+('Annual Model'!C22*((1+$A95)^(1-0.5)/'Annual Model'!C10-1))*(1-Assumptions!C$65-Assumptions!C$66-Assumptions!C$67-Assumptions!C$68-'Reno Schedule'!C$75)*(1-Assumptions!$B$74)-C95*Assumptions!$B$91</f>
        <v/>
      </c>
      <c r="G95" s="33">
        <f>'Annual Model'!D60+('Annual Model'!D22*((1+$A95)^(2-0.5)/'Annual Model'!D10-1))*(1-Assumptions!D$65-Assumptions!D$66-Assumptions!D$67-Assumptions!D$68-'Reno Schedule'!D$75)*(1-Assumptions!$B$74)-C95*Assumptions!$B$91</f>
        <v/>
      </c>
      <c r="H95" s="33">
        <f>'Annual Model'!E60+('Annual Model'!E22*((1+$A95)^(3-0.5)/'Annual Model'!E10-1))*(1-Assumptions!E$65-Assumptions!E$66-Assumptions!E$67-Assumptions!E$68-'Reno Schedule'!E$75)*(1-Assumptions!$B$74)-C95*Assumptions!$B$91</f>
        <v/>
      </c>
      <c r="I95" s="33">
        <f>'Annual Model'!F60+('Annual Model'!F22*((1+$A95)^(4-0.5)/'Annual Model'!F10-1))*(1-Assumptions!F$65-Assumptions!F$66-Assumptions!F$67-Assumptions!F$68-'Reno Schedule'!F$75)*(1-Assumptions!$B$74)-C95*Assumptions!$B$91</f>
        <v/>
      </c>
      <c r="J95" s="33">
        <f>'Annual Model'!G60+('Annual Model'!G22*((1+$A95)^(5-0.5)/'Annual Model'!G10-1))*(1-Assumptions!G$65-Assumptions!G$66-Assumptions!G$67-Assumptions!G$68-'Reno Schedule'!G$75)*(1-Assumptions!$B$74)-C95*Assumptions!$B$91+('Annual Model'!H51+'Annual Model'!H22*((1+$A95)^(6-0.5)/'Annual Model'!H10-1)*(1-Assumptions!G$65-Assumptions!G$66-Assumptions!G$67-Assumptions!G$68)*(1-Assumptions!$B$74))/$B95*(1-Assumptions!$B$15)-C95</f>
        <v/>
      </c>
      <c r="K95" s="89">
        <f>IRR(E95:J95)</f>
        <v/>
      </c>
      <c r="L95" s="78">
        <f>SUM(F95:J95)/-E95</f>
        <v/>
      </c>
    </row>
    <row r="96">
      <c r="A96" s="16" t="n">
        <v>0.035</v>
      </c>
      <c r="B96" s="88" t="n">
        <v>0.0675</v>
      </c>
      <c r="C96" s="33">
        <f>MIN((Assumptions!$B$6+(Assumptions!$B$56+'Capex Budget'!$B$14)*(1+Assumptions!$B$60))*Assumptions!$B$88,('Annual Model'!C51+('Annual Model'!C22*((1+$A96)^(1-0.5)/'Annual Model'!C10-1))*(1-Assumptions!C$65-Assumptions!C$66-Assumptions!C$67-Assumptions!C$68-'Reno Schedule'!C$75)*(1-Assumptions!$B$74))/Assumptions!$B$89,('Annual Model'!C51+('Annual Model'!C22*((1+$A96)^(1-0.5)/'Annual Model'!C10-1))*(1-Assumptions!C$65-Assumptions!C$66-Assumptions!C$67-Assumptions!C$68-'Reno Schedule'!C$75)*(1-Assumptions!$B$74))/(Assumptions!$B$90*Assumptions!$B$91))</f>
        <v/>
      </c>
      <c r="D96" s="33">
        <f>Assumptions!$B$6+(Assumptions!$B$56+'Capex Budget'!$B$14)*(1+Assumptions!$B$60)+Assumptions!$B$6*Assumptions!$B$11+C96*Assumptions!$B$92+Assumptions!$B$93-C96</f>
        <v/>
      </c>
      <c r="E96" s="33">
        <f>-D96</f>
        <v/>
      </c>
      <c r="F96" s="33">
        <f>'Annual Model'!C60+('Annual Model'!C22*((1+$A96)^(1-0.5)/'Annual Model'!C10-1))*(1-Assumptions!C$65-Assumptions!C$66-Assumptions!C$67-Assumptions!C$68-'Reno Schedule'!C$75)*(1-Assumptions!$B$74)-C96*Assumptions!$B$91</f>
        <v/>
      </c>
      <c r="G96" s="33">
        <f>'Annual Model'!D60+('Annual Model'!D22*((1+$A96)^(2-0.5)/'Annual Model'!D10-1))*(1-Assumptions!D$65-Assumptions!D$66-Assumptions!D$67-Assumptions!D$68-'Reno Schedule'!D$75)*(1-Assumptions!$B$74)-C96*Assumptions!$B$91</f>
        <v/>
      </c>
      <c r="H96" s="33">
        <f>'Annual Model'!E60+('Annual Model'!E22*((1+$A96)^(3-0.5)/'Annual Model'!E10-1))*(1-Assumptions!E$65-Assumptions!E$66-Assumptions!E$67-Assumptions!E$68-'Reno Schedule'!E$75)*(1-Assumptions!$B$74)-C96*Assumptions!$B$91</f>
        <v/>
      </c>
      <c r="I96" s="33">
        <f>'Annual Model'!F60+('Annual Model'!F22*((1+$A96)^(4-0.5)/'Annual Model'!F10-1))*(1-Assumptions!F$65-Assumptions!F$66-Assumptions!F$67-Assumptions!F$68-'Reno Schedule'!F$75)*(1-Assumptions!$B$74)-C96*Assumptions!$B$91</f>
        <v/>
      </c>
      <c r="J96" s="33">
        <f>'Annual Model'!G60+('Annual Model'!G22*((1+$A96)^(5-0.5)/'Annual Model'!G10-1))*(1-Assumptions!G$65-Assumptions!G$66-Assumptions!G$67-Assumptions!G$68-'Reno Schedule'!G$75)*(1-Assumptions!$B$74)-C96*Assumptions!$B$91+('Annual Model'!H51+'Annual Model'!H22*((1+$A96)^(6-0.5)/'Annual Model'!H10-1)*(1-Assumptions!G$65-Assumptions!G$66-Assumptions!G$67-Assumptions!G$68)*(1-Assumptions!$B$74))/$B96*(1-Assumptions!$B$15)-C96</f>
        <v/>
      </c>
      <c r="K96" s="89">
        <f>IRR(E96:J96)</f>
        <v/>
      </c>
      <c r="L96" s="78">
        <f>SUM(F96:J96)/-E96</f>
        <v/>
      </c>
    </row>
    <row r="97">
      <c r="A97" s="16" t="n">
        <v>0.035</v>
      </c>
      <c r="B97" s="88" t="n">
        <v>0.07000000000000001</v>
      </c>
      <c r="C97" s="33">
        <f>MIN((Assumptions!$B$6+(Assumptions!$B$56+'Capex Budget'!$B$14)*(1+Assumptions!$B$60))*Assumptions!$B$88,('Annual Model'!C51+('Annual Model'!C22*((1+$A97)^(1-0.5)/'Annual Model'!C10-1))*(1-Assumptions!C$65-Assumptions!C$66-Assumptions!C$67-Assumptions!C$68-'Reno Schedule'!C$75)*(1-Assumptions!$B$74))/Assumptions!$B$89,('Annual Model'!C51+('Annual Model'!C22*((1+$A97)^(1-0.5)/'Annual Model'!C10-1))*(1-Assumptions!C$65-Assumptions!C$66-Assumptions!C$67-Assumptions!C$68-'Reno Schedule'!C$75)*(1-Assumptions!$B$74))/(Assumptions!$B$90*Assumptions!$B$91))</f>
        <v/>
      </c>
      <c r="D97" s="33">
        <f>Assumptions!$B$6+(Assumptions!$B$56+'Capex Budget'!$B$14)*(1+Assumptions!$B$60)+Assumptions!$B$6*Assumptions!$B$11+C97*Assumptions!$B$92+Assumptions!$B$93-C97</f>
        <v/>
      </c>
      <c r="E97" s="33">
        <f>-D97</f>
        <v/>
      </c>
      <c r="F97" s="33">
        <f>'Annual Model'!C60+('Annual Model'!C22*((1+$A97)^(1-0.5)/'Annual Model'!C10-1))*(1-Assumptions!C$65-Assumptions!C$66-Assumptions!C$67-Assumptions!C$68-'Reno Schedule'!C$75)*(1-Assumptions!$B$74)-C97*Assumptions!$B$91</f>
        <v/>
      </c>
      <c r="G97" s="33">
        <f>'Annual Model'!D60+('Annual Model'!D22*((1+$A97)^(2-0.5)/'Annual Model'!D10-1))*(1-Assumptions!D$65-Assumptions!D$66-Assumptions!D$67-Assumptions!D$68-'Reno Schedule'!D$75)*(1-Assumptions!$B$74)-C97*Assumptions!$B$91</f>
        <v/>
      </c>
      <c r="H97" s="33">
        <f>'Annual Model'!E60+('Annual Model'!E22*((1+$A97)^(3-0.5)/'Annual Model'!E10-1))*(1-Assumptions!E$65-Assumptions!E$66-Assumptions!E$67-Assumptions!E$68-'Reno Schedule'!E$75)*(1-Assumptions!$B$74)-C97*Assumptions!$B$91</f>
        <v/>
      </c>
      <c r="I97" s="33">
        <f>'Annual Model'!F60+('Annual Model'!F22*((1+$A97)^(4-0.5)/'Annual Model'!F10-1))*(1-Assumptions!F$65-Assumptions!F$66-Assumptions!F$67-Assumptions!F$68-'Reno Schedule'!F$75)*(1-Assumptions!$B$74)-C97*Assumptions!$B$91</f>
        <v/>
      </c>
      <c r="J97" s="33">
        <f>'Annual Model'!G60+('Annual Model'!G22*((1+$A97)^(5-0.5)/'Annual Model'!G10-1))*(1-Assumptions!G$65-Assumptions!G$66-Assumptions!G$67-Assumptions!G$68-'Reno Schedule'!G$75)*(1-Assumptions!$B$74)-C97*Assumptions!$B$91+('Annual Model'!H51+'Annual Model'!H22*((1+$A97)^(6-0.5)/'Annual Model'!H10-1)*(1-Assumptions!G$65-Assumptions!G$66-Assumptions!G$67-Assumptions!G$68)*(1-Assumptions!$B$74))/$B97*(1-Assumptions!$B$15)-C97</f>
        <v/>
      </c>
      <c r="K97" s="89">
        <f>IRR(E97:J97)</f>
        <v/>
      </c>
      <c r="L97" s="78">
        <f>SUM(F97:J97)/-E97</f>
        <v/>
      </c>
    </row>
    <row r="98">
      <c r="A98" s="16" t="n">
        <v>0.035</v>
      </c>
      <c r="B98" s="88" t="n">
        <v>0.075</v>
      </c>
      <c r="C98" s="33">
        <f>MIN((Assumptions!$B$6+(Assumptions!$B$56+'Capex Budget'!$B$14)*(1+Assumptions!$B$60))*Assumptions!$B$88,('Annual Model'!C51+('Annual Model'!C22*((1+$A98)^(1-0.5)/'Annual Model'!C10-1))*(1-Assumptions!C$65-Assumptions!C$66-Assumptions!C$67-Assumptions!C$68-'Reno Schedule'!C$75)*(1-Assumptions!$B$74))/Assumptions!$B$89,('Annual Model'!C51+('Annual Model'!C22*((1+$A98)^(1-0.5)/'Annual Model'!C10-1))*(1-Assumptions!C$65-Assumptions!C$66-Assumptions!C$67-Assumptions!C$68-'Reno Schedule'!C$75)*(1-Assumptions!$B$74))/(Assumptions!$B$90*Assumptions!$B$91))</f>
        <v/>
      </c>
      <c r="D98" s="33">
        <f>Assumptions!$B$6+(Assumptions!$B$56+'Capex Budget'!$B$14)*(1+Assumptions!$B$60)+Assumptions!$B$6*Assumptions!$B$11+C98*Assumptions!$B$92+Assumptions!$B$93-C98</f>
        <v/>
      </c>
      <c r="E98" s="33">
        <f>-D98</f>
        <v/>
      </c>
      <c r="F98" s="33">
        <f>'Annual Model'!C60+('Annual Model'!C22*((1+$A98)^(1-0.5)/'Annual Model'!C10-1))*(1-Assumptions!C$65-Assumptions!C$66-Assumptions!C$67-Assumptions!C$68-'Reno Schedule'!C$75)*(1-Assumptions!$B$74)-C98*Assumptions!$B$91</f>
        <v/>
      </c>
      <c r="G98" s="33">
        <f>'Annual Model'!D60+('Annual Model'!D22*((1+$A98)^(2-0.5)/'Annual Model'!D10-1))*(1-Assumptions!D$65-Assumptions!D$66-Assumptions!D$67-Assumptions!D$68-'Reno Schedule'!D$75)*(1-Assumptions!$B$74)-C98*Assumptions!$B$91</f>
        <v/>
      </c>
      <c r="H98" s="33">
        <f>'Annual Model'!E60+('Annual Model'!E22*((1+$A98)^(3-0.5)/'Annual Model'!E10-1))*(1-Assumptions!E$65-Assumptions!E$66-Assumptions!E$67-Assumptions!E$68-'Reno Schedule'!E$75)*(1-Assumptions!$B$74)-C98*Assumptions!$B$91</f>
        <v/>
      </c>
      <c r="I98" s="33">
        <f>'Annual Model'!F60+('Annual Model'!F22*((1+$A98)^(4-0.5)/'Annual Model'!F10-1))*(1-Assumptions!F$65-Assumptions!F$66-Assumptions!F$67-Assumptions!F$68-'Reno Schedule'!F$75)*(1-Assumptions!$B$74)-C98*Assumptions!$B$91</f>
        <v/>
      </c>
      <c r="J98" s="33">
        <f>'Annual Model'!G60+('Annual Model'!G22*((1+$A98)^(5-0.5)/'Annual Model'!G10-1))*(1-Assumptions!G$65-Assumptions!G$66-Assumptions!G$67-Assumptions!G$68-'Reno Schedule'!G$75)*(1-Assumptions!$B$74)-C98*Assumptions!$B$91+('Annual Model'!H51+'Annual Model'!H22*((1+$A98)^(6-0.5)/'Annual Model'!H10-1)*(1-Assumptions!G$65-Assumptions!G$66-Assumptions!G$67-Assumptions!G$68)*(1-Assumptions!$B$74))/$B98*(1-Assumptions!$B$15)-C98</f>
        <v/>
      </c>
      <c r="K98" s="89">
        <f>IRR(E98:J98)</f>
        <v/>
      </c>
      <c r="L98" s="78">
        <f>SUM(F98:J98)/-E98</f>
        <v/>
      </c>
    </row>
    <row r="100">
      <c r="A100" s="4" t="inlineStr">
        <is>
          <t>GRID 2 — LEVERED IRR: FLAT RENT GROWTH x EXIT CAP (at our bid)</t>
        </is>
      </c>
      <c r="B100" s="5" t="n"/>
      <c r="C100" s="5" t="n"/>
      <c r="D100" s="5" t="n"/>
      <c r="E100" s="5" t="n"/>
      <c r="F100" s="5" t="n"/>
      <c r="G100" s="5" t="n"/>
    </row>
    <row r="101">
      <c r="A101" s="62" t="inlineStr">
        <is>
          <t>Flat Rent Growth \ Exit Cap</t>
        </is>
      </c>
      <c r="B101" s="90" t="n">
        <v>0.06</v>
      </c>
      <c r="C101" s="90" t="n">
        <v>0.065</v>
      </c>
      <c r="D101" s="90" t="n">
        <v>0.0675</v>
      </c>
      <c r="E101" s="90" t="n">
        <v>0.07000000000000001</v>
      </c>
      <c r="F101" s="90" t="n">
        <v>0.075</v>
      </c>
      <c r="G101" s="28" t="inlineStr">
        <is>
          <t>Market evidence</t>
        </is>
      </c>
    </row>
    <row r="102">
      <c r="A102" s="41" t="n">
        <v>0.01</v>
      </c>
      <c r="B102" s="91">
        <f>K69</f>
        <v/>
      </c>
      <c r="C102" s="91">
        <f>K70</f>
        <v/>
      </c>
      <c r="D102" s="91">
        <f>K71</f>
        <v/>
      </c>
      <c r="E102" s="91">
        <f>K72</f>
        <v/>
      </c>
      <c r="F102" s="91">
        <f>K73</f>
        <v/>
      </c>
      <c r="G102" s="96" t="inlineStr">
        <is>
          <t>1.1% actual YoY, 1Q-26</t>
        </is>
      </c>
    </row>
    <row r="103">
      <c r="A103" s="41" t="n">
        <v>0.015</v>
      </c>
      <c r="B103" s="91">
        <f>K74</f>
        <v/>
      </c>
      <c r="C103" s="91">
        <f>K75</f>
        <v/>
      </c>
      <c r="D103" s="91">
        <f>K76</f>
        <v/>
      </c>
      <c r="E103" s="91">
        <f>K77</f>
        <v/>
      </c>
      <c r="F103" s="91">
        <f>K78</f>
        <v/>
      </c>
      <c r="G103" s="96" t="inlineStr">
        <is>
          <t>our Year 1</t>
        </is>
      </c>
    </row>
    <row r="104">
      <c r="A104" s="41" t="n">
        <v>0.02</v>
      </c>
      <c r="B104" s="91">
        <f>K79</f>
        <v/>
      </c>
      <c r="C104" s="91">
        <f>K80</f>
        <v/>
      </c>
      <c r="D104" s="91">
        <f>K81</f>
        <v/>
      </c>
      <c r="E104" s="91">
        <f>K82</f>
        <v/>
      </c>
      <c r="F104" s="91">
        <f>K83</f>
        <v/>
      </c>
      <c r="G104" s="96" t="inlineStr">
        <is>
          <t>our Year 2</t>
        </is>
      </c>
    </row>
    <row r="105">
      <c r="A105" s="41" t="n">
        <v>0.025</v>
      </c>
      <c r="B105" s="91">
        <f>K84</f>
        <v/>
      </c>
      <c r="C105" s="91">
        <f>K85</f>
        <v/>
      </c>
      <c r="D105" s="91">
        <f>K86</f>
        <v/>
      </c>
      <c r="E105" s="91">
        <f>K87</f>
        <v/>
      </c>
      <c r="F105" s="91">
        <f>K88</f>
        <v/>
      </c>
      <c r="G105" s="96" t="inlineStr">
        <is>
          <t>our Year 3</t>
        </is>
      </c>
    </row>
    <row r="106">
      <c r="A106" s="41" t="n">
        <v>0.03</v>
      </c>
      <c r="B106" s="91">
        <f>K89</f>
        <v/>
      </c>
      <c r="C106" s="91">
        <f>K90</f>
        <v/>
      </c>
      <c r="D106" s="91">
        <f>K91</f>
        <v/>
      </c>
      <c r="E106" s="91">
        <f>K92</f>
        <v/>
      </c>
      <c r="F106" s="91">
        <f>K93</f>
        <v/>
      </c>
      <c r="G106" s="96" t="inlineStr">
        <is>
          <t>our Years 4-5</t>
        </is>
      </c>
    </row>
    <row r="107">
      <c r="A107" s="41" t="n">
        <v>0.035</v>
      </c>
      <c r="B107" s="91">
        <f>K94</f>
        <v/>
      </c>
      <c r="C107" s="91">
        <f>K95</f>
        <v/>
      </c>
      <c r="D107" s="91">
        <f>K96</f>
        <v/>
      </c>
      <c r="E107" s="91">
        <f>K97</f>
        <v/>
      </c>
      <c r="F107" s="91">
        <f>K98</f>
        <v/>
      </c>
      <c r="G107" s="96" t="inlineStr">
        <is>
          <t>above trend</t>
        </is>
      </c>
    </row>
    <row r="110">
      <c r="A110" s="4" t="inlineStr">
        <is>
          <t>BREAKEVEN LADDERS — WHERE EACH DRIVER CROSSES THE HURDLE</t>
        </is>
      </c>
      <c r="B110" s="5" t="n"/>
      <c r="C110" s="5" t="n"/>
      <c r="D110" s="5" t="n"/>
      <c r="E110" s="5" t="n"/>
      <c r="F110" s="5" t="n"/>
      <c r="G110" s="5" t="n"/>
      <c r="H110" s="5" t="n"/>
      <c r="I110" s="5" t="n"/>
      <c r="J110" s="5" t="n"/>
      <c r="K110" s="5" t="n"/>
      <c r="L110" s="5" t="n"/>
      <c r="M110" s="5" t="n"/>
    </row>
    <row r="111" ht="28" customHeight="1">
      <c r="A111" s="12" t="inlineStr">
        <is>
          <t>Each ladder flexes ONE driver at our bid price and the base exit cap, holding everything else at the base case. Read down each block to find where the levered IRR crosses 10%, 12% and 14%. Every cell is live.</t>
        </is>
      </c>
    </row>
    <row r="113">
      <c r="A113" s="4" t="inlineStr">
        <is>
          <t>LADDER A — BLENDED RENOVATION PREMIUM ($/unit/month)</t>
        </is>
      </c>
      <c r="B113" s="5" t="n"/>
      <c r="C113" s="5" t="n"/>
      <c r="D113" s="5" t="n"/>
      <c r="E113" s="5" t="n"/>
      <c r="F113" s="5" t="n"/>
      <c r="G113" s="5" t="n"/>
      <c r="H113" s="5" t="n"/>
      <c r="I113" s="5" t="n"/>
      <c r="J113" s="5" t="n"/>
      <c r="K113" s="5" t="n"/>
      <c r="L113" s="5" t="n"/>
      <c r="M113" s="5" t="n"/>
    </row>
    <row r="114">
      <c r="A114" s="62" t="inlineStr">
        <is>
          <t>Blended Premium</t>
        </is>
      </c>
      <c r="B114" s="62" t="inlineStr">
        <is>
          <t>(base)</t>
        </is>
      </c>
      <c r="C114" s="62" t="inlineStr">
        <is>
          <t>Loan</t>
        </is>
      </c>
      <c r="D114" s="62" t="inlineStr">
        <is>
          <t>Equity</t>
        </is>
      </c>
      <c r="E114" s="62" t="inlineStr">
        <is>
          <t>Year 0</t>
        </is>
      </c>
      <c r="F114" s="62" t="inlineStr">
        <is>
          <t>Year 1</t>
        </is>
      </c>
      <c r="G114" s="62" t="inlineStr">
        <is>
          <t>Year 2</t>
        </is>
      </c>
      <c r="H114" s="62" t="inlineStr">
        <is>
          <t>Year 3</t>
        </is>
      </c>
      <c r="I114" s="62" t="inlineStr">
        <is>
          <t>Year 4</t>
        </is>
      </c>
      <c r="J114" s="62" t="inlineStr">
        <is>
          <t>Year 5</t>
        </is>
      </c>
      <c r="K114" s="62" t="inlineStr">
        <is>
          <t>Levered IRR</t>
        </is>
      </c>
      <c r="L114" s="62" t="inlineStr">
        <is>
          <t>Equity Mult.</t>
        </is>
      </c>
      <c r="M114" s="62" t="inlineStr">
        <is>
          <t>Return on Cost</t>
        </is>
      </c>
    </row>
    <row r="115">
      <c r="A115" s="44" t="n">
        <v>100</v>
      </c>
      <c r="B115" s="52">
        <f>Assumptions!$B$57</f>
        <v/>
      </c>
      <c r="C115" s="33">
        <f>MIN((Assumptions!$B$6+(Assumptions!$B$56+'Capex Budget'!$B$14)*(1+Assumptions!$B$60))*Assumptions!$B$88,('Annual Model'!C51+('Annual Model'!C21*(($A115/$B115)-1))*(1-Assumptions!C$65-Assumptions!C$66-Assumptions!C$67-Assumptions!C$68-'Reno Schedule'!C$75)*(1-Assumptions!$B$74))/Assumptions!$B$89,('Annual Model'!C51+('Annual Model'!C21*(($A115/$B115)-1))*(1-Assumptions!C$65-Assumptions!C$66-Assumptions!C$67-Assumptions!C$68-'Reno Schedule'!C$75)*(1-Assumptions!$B$74))/(Assumptions!$B$90*Assumptions!$B$91))</f>
        <v/>
      </c>
      <c r="D115" s="33">
        <f>Assumptions!$B$6+(Assumptions!$B$56+'Capex Budget'!$B$14)*(1+Assumptions!$B$60)+Assumptions!$B$6*Assumptions!$B$11+C115*Assumptions!$B$92+Assumptions!$B$93-C115</f>
        <v/>
      </c>
      <c r="E115" s="33">
        <f>-D115</f>
        <v/>
      </c>
      <c r="F115" s="33">
        <f>'Annual Model'!C60+('Annual Model'!C21*(($A115/$B115)-1))*(1-Assumptions!C$65-Assumptions!C$66-Assumptions!C$67-Assumptions!C$68-'Reno Schedule'!C$75)*(1-Assumptions!$B$74)-C115*Assumptions!$B$91</f>
        <v/>
      </c>
      <c r="G115" s="33">
        <f>'Annual Model'!D60+('Annual Model'!D21*(($A115/$B115)-1))*(1-Assumptions!D$65-Assumptions!D$66-Assumptions!D$67-Assumptions!D$68-'Reno Schedule'!D$75)*(1-Assumptions!$B$74)-C115*Assumptions!$B$91</f>
        <v/>
      </c>
      <c r="H115" s="33">
        <f>'Annual Model'!E60+('Annual Model'!E21*(($A115/$B115)-1))*(1-Assumptions!E$65-Assumptions!E$66-Assumptions!E$67-Assumptions!E$68-'Reno Schedule'!E$75)*(1-Assumptions!$B$74)-C115*Assumptions!$B$91</f>
        <v/>
      </c>
      <c r="I115" s="33">
        <f>'Annual Model'!F60+('Annual Model'!F21*(($A115/$B115)-1))*(1-Assumptions!F$65-Assumptions!F$66-Assumptions!F$67-Assumptions!F$68-'Reno Schedule'!F$75)*(1-Assumptions!$B$74)-C115*Assumptions!$B$91</f>
        <v/>
      </c>
      <c r="J115" s="33">
        <f>'Annual Model'!G60+('Annual Model'!G21*(($A115/$B115)-1))*(1-Assumptions!G$65-Assumptions!G$66-Assumptions!G$67-Assumptions!G$68-'Reno Schedule'!G$75)*(1-Assumptions!$B$74)-C115*Assumptions!$B$91+('Annual Model'!H51+'Annual Model'!H21*(($A115/$B115)-1)*(1-Assumptions!G$65-Assumptions!G$66-Assumptions!G$67-Assumptions!G$68)*(1-Assumptions!$B$74))/Assumptions!$B$14*(1-Assumptions!$B$15)-C115</f>
        <v/>
      </c>
      <c r="K115" s="89">
        <f>IRR(E115:J115)</f>
        <v/>
      </c>
      <c r="L115" s="78">
        <f>SUM(F115:J115)/-E115</f>
        <v/>
      </c>
      <c r="M115" s="70">
        <f>$A115*12/Assumptions!$B$55</f>
        <v/>
      </c>
    </row>
    <row r="116">
      <c r="A116" s="44" t="n">
        <v>125</v>
      </c>
      <c r="B116" s="52">
        <f>Assumptions!$B$57</f>
        <v/>
      </c>
      <c r="C116" s="33">
        <f>MIN((Assumptions!$B$6+(Assumptions!$B$56+'Capex Budget'!$B$14)*(1+Assumptions!$B$60))*Assumptions!$B$88,('Annual Model'!C51+('Annual Model'!C21*(($A116/$B116)-1))*(1-Assumptions!C$65-Assumptions!C$66-Assumptions!C$67-Assumptions!C$68-'Reno Schedule'!C$75)*(1-Assumptions!$B$74))/Assumptions!$B$89,('Annual Model'!C51+('Annual Model'!C21*(($A116/$B116)-1))*(1-Assumptions!C$65-Assumptions!C$66-Assumptions!C$67-Assumptions!C$68-'Reno Schedule'!C$75)*(1-Assumptions!$B$74))/(Assumptions!$B$90*Assumptions!$B$91))</f>
        <v/>
      </c>
      <c r="D116" s="33">
        <f>Assumptions!$B$6+(Assumptions!$B$56+'Capex Budget'!$B$14)*(1+Assumptions!$B$60)+Assumptions!$B$6*Assumptions!$B$11+C116*Assumptions!$B$92+Assumptions!$B$93-C116</f>
        <v/>
      </c>
      <c r="E116" s="33">
        <f>-D116</f>
        <v/>
      </c>
      <c r="F116" s="33">
        <f>'Annual Model'!C60+('Annual Model'!C21*(($A116/$B116)-1))*(1-Assumptions!C$65-Assumptions!C$66-Assumptions!C$67-Assumptions!C$68-'Reno Schedule'!C$75)*(1-Assumptions!$B$74)-C116*Assumptions!$B$91</f>
        <v/>
      </c>
      <c r="G116" s="33">
        <f>'Annual Model'!D60+('Annual Model'!D21*(($A116/$B116)-1))*(1-Assumptions!D$65-Assumptions!D$66-Assumptions!D$67-Assumptions!D$68-'Reno Schedule'!D$75)*(1-Assumptions!$B$74)-C116*Assumptions!$B$91</f>
        <v/>
      </c>
      <c r="H116" s="33">
        <f>'Annual Model'!E60+('Annual Model'!E21*(($A116/$B116)-1))*(1-Assumptions!E$65-Assumptions!E$66-Assumptions!E$67-Assumptions!E$68-'Reno Schedule'!E$75)*(1-Assumptions!$B$74)-C116*Assumptions!$B$91</f>
        <v/>
      </c>
      <c r="I116" s="33">
        <f>'Annual Model'!F60+('Annual Model'!F21*(($A116/$B116)-1))*(1-Assumptions!F$65-Assumptions!F$66-Assumptions!F$67-Assumptions!F$68-'Reno Schedule'!F$75)*(1-Assumptions!$B$74)-C116*Assumptions!$B$91</f>
        <v/>
      </c>
      <c r="J116" s="33">
        <f>'Annual Model'!G60+('Annual Model'!G21*(($A116/$B116)-1))*(1-Assumptions!G$65-Assumptions!G$66-Assumptions!G$67-Assumptions!G$68-'Reno Schedule'!G$75)*(1-Assumptions!$B$74)-C116*Assumptions!$B$91+('Annual Model'!H51+'Annual Model'!H21*(($A116/$B116)-1)*(1-Assumptions!G$65-Assumptions!G$66-Assumptions!G$67-Assumptions!G$68)*(1-Assumptions!$B$74))/Assumptions!$B$14*(1-Assumptions!$B$15)-C116</f>
        <v/>
      </c>
      <c r="K116" s="89">
        <f>IRR(E116:J116)</f>
        <v/>
      </c>
      <c r="L116" s="78">
        <f>SUM(F116:J116)/-E116</f>
        <v/>
      </c>
      <c r="M116" s="70">
        <f>$A116*12/Assumptions!$B$55</f>
        <v/>
      </c>
    </row>
    <row r="117">
      <c r="A117" s="44" t="n">
        <v>140</v>
      </c>
      <c r="B117" s="52">
        <f>Assumptions!$B$57</f>
        <v/>
      </c>
      <c r="C117" s="33">
        <f>MIN((Assumptions!$B$6+(Assumptions!$B$56+'Capex Budget'!$B$14)*(1+Assumptions!$B$60))*Assumptions!$B$88,('Annual Model'!C51+('Annual Model'!C21*(($A117/$B117)-1))*(1-Assumptions!C$65-Assumptions!C$66-Assumptions!C$67-Assumptions!C$68-'Reno Schedule'!C$75)*(1-Assumptions!$B$74))/Assumptions!$B$89,('Annual Model'!C51+('Annual Model'!C21*(($A117/$B117)-1))*(1-Assumptions!C$65-Assumptions!C$66-Assumptions!C$67-Assumptions!C$68-'Reno Schedule'!C$75)*(1-Assumptions!$B$74))/(Assumptions!$B$90*Assumptions!$B$91))</f>
        <v/>
      </c>
      <c r="D117" s="33">
        <f>Assumptions!$B$6+(Assumptions!$B$56+'Capex Budget'!$B$14)*(1+Assumptions!$B$60)+Assumptions!$B$6*Assumptions!$B$11+C117*Assumptions!$B$92+Assumptions!$B$93-C117</f>
        <v/>
      </c>
      <c r="E117" s="33">
        <f>-D117</f>
        <v/>
      </c>
      <c r="F117" s="33">
        <f>'Annual Model'!C60+('Annual Model'!C21*(($A117/$B117)-1))*(1-Assumptions!C$65-Assumptions!C$66-Assumptions!C$67-Assumptions!C$68-'Reno Schedule'!C$75)*(1-Assumptions!$B$74)-C117*Assumptions!$B$91</f>
        <v/>
      </c>
      <c r="G117" s="33">
        <f>'Annual Model'!D60+('Annual Model'!D21*(($A117/$B117)-1))*(1-Assumptions!D$65-Assumptions!D$66-Assumptions!D$67-Assumptions!D$68-'Reno Schedule'!D$75)*(1-Assumptions!$B$74)-C117*Assumptions!$B$91</f>
        <v/>
      </c>
      <c r="H117" s="33">
        <f>'Annual Model'!E60+('Annual Model'!E21*(($A117/$B117)-1))*(1-Assumptions!E$65-Assumptions!E$66-Assumptions!E$67-Assumptions!E$68-'Reno Schedule'!E$75)*(1-Assumptions!$B$74)-C117*Assumptions!$B$91</f>
        <v/>
      </c>
      <c r="I117" s="33">
        <f>'Annual Model'!F60+('Annual Model'!F21*(($A117/$B117)-1))*(1-Assumptions!F$65-Assumptions!F$66-Assumptions!F$67-Assumptions!F$68-'Reno Schedule'!F$75)*(1-Assumptions!$B$74)-C117*Assumptions!$B$91</f>
        <v/>
      </c>
      <c r="J117" s="33">
        <f>'Annual Model'!G60+('Annual Model'!G21*(($A117/$B117)-1))*(1-Assumptions!G$65-Assumptions!G$66-Assumptions!G$67-Assumptions!G$68-'Reno Schedule'!G$75)*(1-Assumptions!$B$74)-C117*Assumptions!$B$91+('Annual Model'!H51+'Annual Model'!H21*(($A117/$B117)-1)*(1-Assumptions!G$65-Assumptions!G$66-Assumptions!G$67-Assumptions!G$68)*(1-Assumptions!$B$74))/Assumptions!$B$14*(1-Assumptions!$B$15)-C117</f>
        <v/>
      </c>
      <c r="K117" s="89">
        <f>IRR(E117:J117)</f>
        <v/>
      </c>
      <c r="L117" s="78">
        <f>SUM(F117:J117)/-E117</f>
        <v/>
      </c>
      <c r="M117" s="70">
        <f>$A117*12/Assumptions!$B$55</f>
        <v/>
      </c>
    </row>
    <row r="118">
      <c r="A118" s="44" t="n">
        <v>155</v>
      </c>
      <c r="B118" s="52">
        <f>Assumptions!$B$57</f>
        <v/>
      </c>
      <c r="C118" s="33">
        <f>MIN((Assumptions!$B$6+(Assumptions!$B$56+'Capex Budget'!$B$14)*(1+Assumptions!$B$60))*Assumptions!$B$88,('Annual Model'!C51+('Annual Model'!C21*(($A118/$B118)-1))*(1-Assumptions!C$65-Assumptions!C$66-Assumptions!C$67-Assumptions!C$68-'Reno Schedule'!C$75)*(1-Assumptions!$B$74))/Assumptions!$B$89,('Annual Model'!C51+('Annual Model'!C21*(($A118/$B118)-1))*(1-Assumptions!C$65-Assumptions!C$66-Assumptions!C$67-Assumptions!C$68-'Reno Schedule'!C$75)*(1-Assumptions!$B$74))/(Assumptions!$B$90*Assumptions!$B$91))</f>
        <v/>
      </c>
      <c r="D118" s="33">
        <f>Assumptions!$B$6+(Assumptions!$B$56+'Capex Budget'!$B$14)*(1+Assumptions!$B$60)+Assumptions!$B$6*Assumptions!$B$11+C118*Assumptions!$B$92+Assumptions!$B$93-C118</f>
        <v/>
      </c>
      <c r="E118" s="33">
        <f>-D118</f>
        <v/>
      </c>
      <c r="F118" s="33">
        <f>'Annual Model'!C60+('Annual Model'!C21*(($A118/$B118)-1))*(1-Assumptions!C$65-Assumptions!C$66-Assumptions!C$67-Assumptions!C$68-'Reno Schedule'!C$75)*(1-Assumptions!$B$74)-C118*Assumptions!$B$91</f>
        <v/>
      </c>
      <c r="G118" s="33">
        <f>'Annual Model'!D60+('Annual Model'!D21*(($A118/$B118)-1))*(1-Assumptions!D$65-Assumptions!D$66-Assumptions!D$67-Assumptions!D$68-'Reno Schedule'!D$75)*(1-Assumptions!$B$74)-C118*Assumptions!$B$91</f>
        <v/>
      </c>
      <c r="H118" s="33">
        <f>'Annual Model'!E60+('Annual Model'!E21*(($A118/$B118)-1))*(1-Assumptions!E$65-Assumptions!E$66-Assumptions!E$67-Assumptions!E$68-'Reno Schedule'!E$75)*(1-Assumptions!$B$74)-C118*Assumptions!$B$91</f>
        <v/>
      </c>
      <c r="I118" s="33">
        <f>'Annual Model'!F60+('Annual Model'!F21*(($A118/$B118)-1))*(1-Assumptions!F$65-Assumptions!F$66-Assumptions!F$67-Assumptions!F$68-'Reno Schedule'!F$75)*(1-Assumptions!$B$74)-C118*Assumptions!$B$91</f>
        <v/>
      </c>
      <c r="J118" s="33">
        <f>'Annual Model'!G60+('Annual Model'!G21*(($A118/$B118)-1))*(1-Assumptions!G$65-Assumptions!G$66-Assumptions!G$67-Assumptions!G$68-'Reno Schedule'!G$75)*(1-Assumptions!$B$74)-C118*Assumptions!$B$91+('Annual Model'!H51+'Annual Model'!H21*(($A118/$B118)-1)*(1-Assumptions!G$65-Assumptions!G$66-Assumptions!G$67-Assumptions!G$68)*(1-Assumptions!$B$74))/Assumptions!$B$14*(1-Assumptions!$B$15)-C118</f>
        <v/>
      </c>
      <c r="K118" s="89">
        <f>IRR(E118:J118)</f>
        <v/>
      </c>
      <c r="L118" s="78">
        <f>SUM(F118:J118)/-E118</f>
        <v/>
      </c>
      <c r="M118" s="70">
        <f>$A118*12/Assumptions!$B$55</f>
        <v/>
      </c>
    </row>
    <row r="119">
      <c r="A119" s="44" t="n">
        <v>170</v>
      </c>
      <c r="B119" s="52">
        <f>Assumptions!$B$57</f>
        <v/>
      </c>
      <c r="C119" s="33">
        <f>MIN((Assumptions!$B$6+(Assumptions!$B$56+'Capex Budget'!$B$14)*(1+Assumptions!$B$60))*Assumptions!$B$88,('Annual Model'!C51+('Annual Model'!C21*(($A119/$B119)-1))*(1-Assumptions!C$65-Assumptions!C$66-Assumptions!C$67-Assumptions!C$68-'Reno Schedule'!C$75)*(1-Assumptions!$B$74))/Assumptions!$B$89,('Annual Model'!C51+('Annual Model'!C21*(($A119/$B119)-1))*(1-Assumptions!C$65-Assumptions!C$66-Assumptions!C$67-Assumptions!C$68-'Reno Schedule'!C$75)*(1-Assumptions!$B$74))/(Assumptions!$B$90*Assumptions!$B$91))</f>
        <v/>
      </c>
      <c r="D119" s="33">
        <f>Assumptions!$B$6+(Assumptions!$B$56+'Capex Budget'!$B$14)*(1+Assumptions!$B$60)+Assumptions!$B$6*Assumptions!$B$11+C119*Assumptions!$B$92+Assumptions!$B$93-C119</f>
        <v/>
      </c>
      <c r="E119" s="33">
        <f>-D119</f>
        <v/>
      </c>
      <c r="F119" s="33">
        <f>'Annual Model'!C60+('Annual Model'!C21*(($A119/$B119)-1))*(1-Assumptions!C$65-Assumptions!C$66-Assumptions!C$67-Assumptions!C$68-'Reno Schedule'!C$75)*(1-Assumptions!$B$74)-C119*Assumptions!$B$91</f>
        <v/>
      </c>
      <c r="G119" s="33">
        <f>'Annual Model'!D60+('Annual Model'!D21*(($A119/$B119)-1))*(1-Assumptions!D$65-Assumptions!D$66-Assumptions!D$67-Assumptions!D$68-'Reno Schedule'!D$75)*(1-Assumptions!$B$74)-C119*Assumptions!$B$91</f>
        <v/>
      </c>
      <c r="H119" s="33">
        <f>'Annual Model'!E60+('Annual Model'!E21*(($A119/$B119)-1))*(1-Assumptions!E$65-Assumptions!E$66-Assumptions!E$67-Assumptions!E$68-'Reno Schedule'!E$75)*(1-Assumptions!$B$74)-C119*Assumptions!$B$91</f>
        <v/>
      </c>
      <c r="I119" s="33">
        <f>'Annual Model'!F60+('Annual Model'!F21*(($A119/$B119)-1))*(1-Assumptions!F$65-Assumptions!F$66-Assumptions!F$67-Assumptions!F$68-'Reno Schedule'!F$75)*(1-Assumptions!$B$74)-C119*Assumptions!$B$91</f>
        <v/>
      </c>
      <c r="J119" s="33">
        <f>'Annual Model'!G60+('Annual Model'!G21*(($A119/$B119)-1))*(1-Assumptions!G$65-Assumptions!G$66-Assumptions!G$67-Assumptions!G$68-'Reno Schedule'!G$75)*(1-Assumptions!$B$74)-C119*Assumptions!$B$91+('Annual Model'!H51+'Annual Model'!H21*(($A119/$B119)-1)*(1-Assumptions!G$65-Assumptions!G$66-Assumptions!G$67-Assumptions!G$68)*(1-Assumptions!$B$74))/Assumptions!$B$14*(1-Assumptions!$B$15)-C119</f>
        <v/>
      </c>
      <c r="K119" s="89">
        <f>IRR(E119:J119)</f>
        <v/>
      </c>
      <c r="L119" s="78">
        <f>SUM(F119:J119)/-E119</f>
        <v/>
      </c>
      <c r="M119" s="70">
        <f>$A119*12/Assumptions!$B$55</f>
        <v/>
      </c>
    </row>
    <row r="120">
      <c r="A120" s="44" t="n">
        <v>190</v>
      </c>
      <c r="B120" s="52">
        <f>Assumptions!$B$57</f>
        <v/>
      </c>
      <c r="C120" s="33">
        <f>MIN((Assumptions!$B$6+(Assumptions!$B$56+'Capex Budget'!$B$14)*(1+Assumptions!$B$60))*Assumptions!$B$88,('Annual Model'!C51+('Annual Model'!C21*(($A120/$B120)-1))*(1-Assumptions!C$65-Assumptions!C$66-Assumptions!C$67-Assumptions!C$68-'Reno Schedule'!C$75)*(1-Assumptions!$B$74))/Assumptions!$B$89,('Annual Model'!C51+('Annual Model'!C21*(($A120/$B120)-1))*(1-Assumptions!C$65-Assumptions!C$66-Assumptions!C$67-Assumptions!C$68-'Reno Schedule'!C$75)*(1-Assumptions!$B$74))/(Assumptions!$B$90*Assumptions!$B$91))</f>
        <v/>
      </c>
      <c r="D120" s="33">
        <f>Assumptions!$B$6+(Assumptions!$B$56+'Capex Budget'!$B$14)*(1+Assumptions!$B$60)+Assumptions!$B$6*Assumptions!$B$11+C120*Assumptions!$B$92+Assumptions!$B$93-C120</f>
        <v/>
      </c>
      <c r="E120" s="33">
        <f>-D120</f>
        <v/>
      </c>
      <c r="F120" s="33">
        <f>'Annual Model'!C60+('Annual Model'!C21*(($A120/$B120)-1))*(1-Assumptions!C$65-Assumptions!C$66-Assumptions!C$67-Assumptions!C$68-'Reno Schedule'!C$75)*(1-Assumptions!$B$74)-C120*Assumptions!$B$91</f>
        <v/>
      </c>
      <c r="G120" s="33">
        <f>'Annual Model'!D60+('Annual Model'!D21*(($A120/$B120)-1))*(1-Assumptions!D$65-Assumptions!D$66-Assumptions!D$67-Assumptions!D$68-'Reno Schedule'!D$75)*(1-Assumptions!$B$74)-C120*Assumptions!$B$91</f>
        <v/>
      </c>
      <c r="H120" s="33">
        <f>'Annual Model'!E60+('Annual Model'!E21*(($A120/$B120)-1))*(1-Assumptions!E$65-Assumptions!E$66-Assumptions!E$67-Assumptions!E$68-'Reno Schedule'!E$75)*(1-Assumptions!$B$74)-C120*Assumptions!$B$91</f>
        <v/>
      </c>
      <c r="I120" s="33">
        <f>'Annual Model'!F60+('Annual Model'!F21*(($A120/$B120)-1))*(1-Assumptions!F$65-Assumptions!F$66-Assumptions!F$67-Assumptions!F$68-'Reno Schedule'!F$75)*(1-Assumptions!$B$74)-C120*Assumptions!$B$91</f>
        <v/>
      </c>
      <c r="J120" s="33">
        <f>'Annual Model'!G60+('Annual Model'!G21*(($A120/$B120)-1))*(1-Assumptions!G$65-Assumptions!G$66-Assumptions!G$67-Assumptions!G$68-'Reno Schedule'!G$75)*(1-Assumptions!$B$74)-C120*Assumptions!$B$91+('Annual Model'!H51+'Annual Model'!H21*(($A120/$B120)-1)*(1-Assumptions!G$65-Assumptions!G$66-Assumptions!G$67-Assumptions!G$68)*(1-Assumptions!$B$74))/Assumptions!$B$14*(1-Assumptions!$B$15)-C120</f>
        <v/>
      </c>
      <c r="K120" s="89">
        <f>IRR(E120:J120)</f>
        <v/>
      </c>
      <c r="L120" s="78">
        <f>SUM(F120:J120)/-E120</f>
        <v/>
      </c>
      <c r="M120" s="70">
        <f>$A120*12/Assumptions!$B$55</f>
        <v/>
      </c>
    </row>
    <row r="122">
      <c r="A122" s="4" t="inlineStr">
        <is>
          <t>LADDER B — BLENDED RENOVATION COST ($/unit)</t>
        </is>
      </c>
      <c r="B122" s="5" t="n"/>
      <c r="C122" s="5" t="n"/>
      <c r="D122" s="5" t="n"/>
      <c r="E122" s="5" t="n"/>
      <c r="F122" s="5" t="n"/>
      <c r="G122" s="5" t="n"/>
      <c r="H122" s="5" t="n"/>
      <c r="I122" s="5" t="n"/>
      <c r="J122" s="5" t="n"/>
      <c r="K122" s="5" t="n"/>
      <c r="L122" s="5" t="n"/>
      <c r="M122" s="5" t="n"/>
    </row>
    <row r="123">
      <c r="A123" s="62" t="inlineStr">
        <is>
          <t>Blended Cost</t>
        </is>
      </c>
      <c r="B123" s="62" t="inlineStr">
        <is>
          <t>(base)</t>
        </is>
      </c>
      <c r="C123" s="62" t="inlineStr">
        <is>
          <t>Loan</t>
        </is>
      </c>
      <c r="D123" s="62" t="inlineStr">
        <is>
          <t>Equity</t>
        </is>
      </c>
      <c r="E123" s="62" t="inlineStr">
        <is>
          <t>Year 0</t>
        </is>
      </c>
      <c r="F123" s="62" t="inlineStr">
        <is>
          <t>Year 1</t>
        </is>
      </c>
      <c r="G123" s="62" t="inlineStr">
        <is>
          <t>Year 2</t>
        </is>
      </c>
      <c r="H123" s="62" t="inlineStr">
        <is>
          <t>Year 3</t>
        </is>
      </c>
      <c r="I123" s="62" t="inlineStr">
        <is>
          <t>Year 4</t>
        </is>
      </c>
      <c r="J123" s="62" t="inlineStr">
        <is>
          <t>Year 5</t>
        </is>
      </c>
      <c r="K123" s="62" t="inlineStr">
        <is>
          <t>Levered IRR</t>
        </is>
      </c>
      <c r="L123" s="62" t="inlineStr">
        <is>
          <t>Equity Mult.</t>
        </is>
      </c>
      <c r="M123" s="62" t="inlineStr">
        <is>
          <t>Return on Cost</t>
        </is>
      </c>
    </row>
    <row r="124">
      <c r="A124" s="44" t="n">
        <v>11000</v>
      </c>
      <c r="B124" s="52">
        <f>Assumptions!$B$55</f>
        <v/>
      </c>
      <c r="C124" s="33">
        <f>MIN((Assumptions!$B$6+($A124*Assumptions!$B$19+'Capex Budget'!$B$14)*(1+Assumptions!$B$60))*Assumptions!$B$88,'Annual Model'!C51/Assumptions!$B$89,'Annual Model'!C51/(Assumptions!$B$90*Assumptions!$B$91))</f>
        <v/>
      </c>
      <c r="D124" s="33">
        <f>Assumptions!$B$6+($A124*Assumptions!$B$19+'Capex Budget'!$B$14)*(1+Assumptions!$B$60)+Assumptions!$B$6*Assumptions!$B$11+C124*Assumptions!$B$92+Assumptions!$B$93-C124</f>
        <v/>
      </c>
      <c r="E124" s="33">
        <f>-D124</f>
        <v/>
      </c>
      <c r="F124" s="33">
        <f>'Annual Model'!C60-C124*Assumptions!$B$91</f>
        <v/>
      </c>
      <c r="G124" s="33">
        <f>'Annual Model'!D60-C124*Assumptions!$B$91</f>
        <v/>
      </c>
      <c r="H124" s="33">
        <f>'Annual Model'!E60-C124*Assumptions!$B$91</f>
        <v/>
      </c>
      <c r="I124" s="33">
        <f>'Annual Model'!F60-C124*Assumptions!$B$91</f>
        <v/>
      </c>
      <c r="J124" s="33">
        <f>'Annual Model'!G60-C124*Assumptions!$B$91+'Annual Model'!H51/Assumptions!$B$14*(1-Assumptions!$B$15)-C124</f>
        <v/>
      </c>
      <c r="K124" s="89">
        <f>IRR(E124:J124)</f>
        <v/>
      </c>
      <c r="L124" s="78">
        <f>SUM(F124:J124)/-E124</f>
        <v/>
      </c>
      <c r="M124" s="70">
        <f>Assumptions!$B$57*12/$A124</f>
        <v/>
      </c>
    </row>
    <row r="125">
      <c r="A125" s="44" t="n">
        <v>12500</v>
      </c>
      <c r="B125" s="52">
        <f>Assumptions!$B$55</f>
        <v/>
      </c>
      <c r="C125" s="33">
        <f>MIN((Assumptions!$B$6+($A125*Assumptions!$B$19+'Capex Budget'!$B$14)*(1+Assumptions!$B$60))*Assumptions!$B$88,'Annual Model'!C51/Assumptions!$B$89,'Annual Model'!C51/(Assumptions!$B$90*Assumptions!$B$91))</f>
        <v/>
      </c>
      <c r="D125" s="33">
        <f>Assumptions!$B$6+($A125*Assumptions!$B$19+'Capex Budget'!$B$14)*(1+Assumptions!$B$60)+Assumptions!$B$6*Assumptions!$B$11+C125*Assumptions!$B$92+Assumptions!$B$93-C125</f>
        <v/>
      </c>
      <c r="E125" s="33">
        <f>-D125</f>
        <v/>
      </c>
      <c r="F125" s="33">
        <f>'Annual Model'!C60-C125*Assumptions!$B$91</f>
        <v/>
      </c>
      <c r="G125" s="33">
        <f>'Annual Model'!D60-C125*Assumptions!$B$91</f>
        <v/>
      </c>
      <c r="H125" s="33">
        <f>'Annual Model'!E60-C125*Assumptions!$B$91</f>
        <v/>
      </c>
      <c r="I125" s="33">
        <f>'Annual Model'!F60-C125*Assumptions!$B$91</f>
        <v/>
      </c>
      <c r="J125" s="33">
        <f>'Annual Model'!G60-C125*Assumptions!$B$91+'Annual Model'!H51/Assumptions!$B$14*(1-Assumptions!$B$15)-C125</f>
        <v/>
      </c>
      <c r="K125" s="89">
        <f>IRR(E125:J125)</f>
        <v/>
      </c>
      <c r="L125" s="78">
        <f>SUM(F125:J125)/-E125</f>
        <v/>
      </c>
      <c r="M125" s="70">
        <f>Assumptions!$B$57*12/$A125</f>
        <v/>
      </c>
    </row>
    <row r="126">
      <c r="A126" s="44" t="n">
        <v>14407</v>
      </c>
      <c r="B126" s="52">
        <f>Assumptions!$B$55</f>
        <v/>
      </c>
      <c r="C126" s="33">
        <f>MIN((Assumptions!$B$6+($A126*Assumptions!$B$19+'Capex Budget'!$B$14)*(1+Assumptions!$B$60))*Assumptions!$B$88,'Annual Model'!C51/Assumptions!$B$89,'Annual Model'!C51/(Assumptions!$B$90*Assumptions!$B$91))</f>
        <v/>
      </c>
      <c r="D126" s="33">
        <f>Assumptions!$B$6+($A126*Assumptions!$B$19+'Capex Budget'!$B$14)*(1+Assumptions!$B$60)+Assumptions!$B$6*Assumptions!$B$11+C126*Assumptions!$B$92+Assumptions!$B$93-C126</f>
        <v/>
      </c>
      <c r="E126" s="33">
        <f>-D126</f>
        <v/>
      </c>
      <c r="F126" s="33">
        <f>'Annual Model'!C60-C126*Assumptions!$B$91</f>
        <v/>
      </c>
      <c r="G126" s="33">
        <f>'Annual Model'!D60-C126*Assumptions!$B$91</f>
        <v/>
      </c>
      <c r="H126" s="33">
        <f>'Annual Model'!E60-C126*Assumptions!$B$91</f>
        <v/>
      </c>
      <c r="I126" s="33">
        <f>'Annual Model'!F60-C126*Assumptions!$B$91</f>
        <v/>
      </c>
      <c r="J126" s="33">
        <f>'Annual Model'!G60-C126*Assumptions!$B$91+'Annual Model'!H51/Assumptions!$B$14*(1-Assumptions!$B$15)-C126</f>
        <v/>
      </c>
      <c r="K126" s="89">
        <f>IRR(E126:J126)</f>
        <v/>
      </c>
      <c r="L126" s="78">
        <f>SUM(F126:J126)/-E126</f>
        <v/>
      </c>
      <c r="M126" s="70">
        <f>Assumptions!$B$57*12/$A126</f>
        <v/>
      </c>
    </row>
    <row r="127">
      <c r="A127" s="44" t="n">
        <v>16000</v>
      </c>
      <c r="B127" s="52">
        <f>Assumptions!$B$55</f>
        <v/>
      </c>
      <c r="C127" s="33">
        <f>MIN((Assumptions!$B$6+($A127*Assumptions!$B$19+'Capex Budget'!$B$14)*(1+Assumptions!$B$60))*Assumptions!$B$88,'Annual Model'!C51/Assumptions!$B$89,'Annual Model'!C51/(Assumptions!$B$90*Assumptions!$B$91))</f>
        <v/>
      </c>
      <c r="D127" s="33">
        <f>Assumptions!$B$6+($A127*Assumptions!$B$19+'Capex Budget'!$B$14)*(1+Assumptions!$B$60)+Assumptions!$B$6*Assumptions!$B$11+C127*Assumptions!$B$92+Assumptions!$B$93-C127</f>
        <v/>
      </c>
      <c r="E127" s="33">
        <f>-D127</f>
        <v/>
      </c>
      <c r="F127" s="33">
        <f>'Annual Model'!C60-C127*Assumptions!$B$91</f>
        <v/>
      </c>
      <c r="G127" s="33">
        <f>'Annual Model'!D60-C127*Assumptions!$B$91</f>
        <v/>
      </c>
      <c r="H127" s="33">
        <f>'Annual Model'!E60-C127*Assumptions!$B$91</f>
        <v/>
      </c>
      <c r="I127" s="33">
        <f>'Annual Model'!F60-C127*Assumptions!$B$91</f>
        <v/>
      </c>
      <c r="J127" s="33">
        <f>'Annual Model'!G60-C127*Assumptions!$B$91+'Annual Model'!H51/Assumptions!$B$14*(1-Assumptions!$B$15)-C127</f>
        <v/>
      </c>
      <c r="K127" s="89">
        <f>IRR(E127:J127)</f>
        <v/>
      </c>
      <c r="L127" s="78">
        <f>SUM(F127:J127)/-E127</f>
        <v/>
      </c>
      <c r="M127" s="70">
        <f>Assumptions!$B$57*12/$A127</f>
        <v/>
      </c>
    </row>
    <row r="128">
      <c r="A128" s="44" t="n">
        <v>18000</v>
      </c>
      <c r="B128" s="52">
        <f>Assumptions!$B$55</f>
        <v/>
      </c>
      <c r="C128" s="33">
        <f>MIN((Assumptions!$B$6+($A128*Assumptions!$B$19+'Capex Budget'!$B$14)*(1+Assumptions!$B$60))*Assumptions!$B$88,'Annual Model'!C51/Assumptions!$B$89,'Annual Model'!C51/(Assumptions!$B$90*Assumptions!$B$91))</f>
        <v/>
      </c>
      <c r="D128" s="33">
        <f>Assumptions!$B$6+($A128*Assumptions!$B$19+'Capex Budget'!$B$14)*(1+Assumptions!$B$60)+Assumptions!$B$6*Assumptions!$B$11+C128*Assumptions!$B$92+Assumptions!$B$93-C128</f>
        <v/>
      </c>
      <c r="E128" s="33">
        <f>-D128</f>
        <v/>
      </c>
      <c r="F128" s="33">
        <f>'Annual Model'!C60-C128*Assumptions!$B$91</f>
        <v/>
      </c>
      <c r="G128" s="33">
        <f>'Annual Model'!D60-C128*Assumptions!$B$91</f>
        <v/>
      </c>
      <c r="H128" s="33">
        <f>'Annual Model'!E60-C128*Assumptions!$B$91</f>
        <v/>
      </c>
      <c r="I128" s="33">
        <f>'Annual Model'!F60-C128*Assumptions!$B$91</f>
        <v/>
      </c>
      <c r="J128" s="33">
        <f>'Annual Model'!G60-C128*Assumptions!$B$91+'Annual Model'!H51/Assumptions!$B$14*(1-Assumptions!$B$15)-C128</f>
        <v/>
      </c>
      <c r="K128" s="89">
        <f>IRR(E128:J128)</f>
        <v/>
      </c>
      <c r="L128" s="78">
        <f>SUM(F128:J128)/-E128</f>
        <v/>
      </c>
      <c r="M128" s="70">
        <f>Assumptions!$B$57*12/$A128</f>
        <v/>
      </c>
    </row>
    <row r="129">
      <c r="A129" s="44" t="n">
        <v>20000</v>
      </c>
      <c r="B129" s="52">
        <f>Assumptions!$B$55</f>
        <v/>
      </c>
      <c r="C129" s="33">
        <f>MIN((Assumptions!$B$6+($A129*Assumptions!$B$19+'Capex Budget'!$B$14)*(1+Assumptions!$B$60))*Assumptions!$B$88,'Annual Model'!C51/Assumptions!$B$89,'Annual Model'!C51/(Assumptions!$B$90*Assumptions!$B$91))</f>
        <v/>
      </c>
      <c r="D129" s="33">
        <f>Assumptions!$B$6+($A129*Assumptions!$B$19+'Capex Budget'!$B$14)*(1+Assumptions!$B$60)+Assumptions!$B$6*Assumptions!$B$11+C129*Assumptions!$B$92+Assumptions!$B$93-C129</f>
        <v/>
      </c>
      <c r="E129" s="33">
        <f>-D129</f>
        <v/>
      </c>
      <c r="F129" s="33">
        <f>'Annual Model'!C60-C129*Assumptions!$B$91</f>
        <v/>
      </c>
      <c r="G129" s="33">
        <f>'Annual Model'!D60-C129*Assumptions!$B$91</f>
        <v/>
      </c>
      <c r="H129" s="33">
        <f>'Annual Model'!E60-C129*Assumptions!$B$91</f>
        <v/>
      </c>
      <c r="I129" s="33">
        <f>'Annual Model'!F60-C129*Assumptions!$B$91</f>
        <v/>
      </c>
      <c r="J129" s="33">
        <f>'Annual Model'!G60-C129*Assumptions!$B$91+'Annual Model'!H51/Assumptions!$B$14*(1-Assumptions!$B$15)-C129</f>
        <v/>
      </c>
      <c r="K129" s="89">
        <f>IRR(E129:J129)</f>
        <v/>
      </c>
      <c r="L129" s="78">
        <f>SUM(F129:J129)/-E129</f>
        <v/>
      </c>
      <c r="M129" s="70">
        <f>Assumptions!$B$57*12/$A129</f>
        <v/>
      </c>
    </row>
    <row r="131">
      <c r="A131" s="4" t="inlineStr">
        <is>
          <t>LADDER C — REAL ESTATE TAX REASSESSMENT (Year-5 bill)</t>
        </is>
      </c>
      <c r="B131" s="5" t="n"/>
      <c r="C131" s="5" t="n"/>
      <c r="D131" s="5" t="n"/>
      <c r="E131" s="5" t="n"/>
      <c r="F131" s="5" t="n"/>
      <c r="G131" s="5" t="n"/>
      <c r="H131" s="5" t="n"/>
      <c r="I131" s="5" t="n"/>
      <c r="J131" s="5" t="n"/>
      <c r="K131" s="5" t="n"/>
      <c r="L131" s="5" t="n"/>
      <c r="M131" s="5" t="n"/>
    </row>
    <row r="132">
      <c r="A132" s="62" t="inlineStr">
        <is>
          <t>Year-5 Tax Bill</t>
        </is>
      </c>
      <c r="B132" s="62" t="inlineStr">
        <is>
          <t>Implied AV</t>
        </is>
      </c>
      <c r="C132" s="62" t="inlineStr">
        <is>
          <t>Loan</t>
        </is>
      </c>
      <c r="D132" s="62" t="inlineStr">
        <is>
          <t>Equity</t>
        </is>
      </c>
      <c r="E132" s="62" t="inlineStr">
        <is>
          <t>Year 0</t>
        </is>
      </c>
      <c r="F132" s="62" t="inlineStr">
        <is>
          <t>Year 1</t>
        </is>
      </c>
      <c r="G132" s="62" t="inlineStr">
        <is>
          <t>Year 2</t>
        </is>
      </c>
      <c r="H132" s="62" t="inlineStr">
        <is>
          <t>Year 3</t>
        </is>
      </c>
      <c r="I132" s="62" t="inlineStr">
        <is>
          <t>Year 4</t>
        </is>
      </c>
      <c r="J132" s="62" t="inlineStr">
        <is>
          <t>Year 5</t>
        </is>
      </c>
      <c r="K132" s="62" t="inlineStr">
        <is>
          <t>Levered IRR</t>
        </is>
      </c>
      <c r="L132" s="62" t="inlineStr">
        <is>
          <t>Equity Mult.</t>
        </is>
      </c>
      <c r="M132" s="62" t="inlineStr">
        <is>
          <t>Scenario</t>
        </is>
      </c>
    </row>
    <row r="133">
      <c r="A133" s="44" t="n">
        <v>137000</v>
      </c>
      <c r="B133" s="41">
        <f>A133/0.024861/Assumptions!$B$7</f>
        <v/>
      </c>
      <c r="C133" s="33">
        <f>MIN((Assumptions!$B$6+(Assumptions!$B$56+'Capex Budget'!$B$14)*(1+Assumptions!$B$60))*Assumptions!$B$88,('Annual Model'!C51-(($A133-Assumptions!G$84)*1/5))/Assumptions!$B$89,('Annual Model'!C51-(($A133-Assumptions!G$84)*1/5))/(Assumptions!$B$90*Assumptions!$B$91))</f>
        <v/>
      </c>
      <c r="D133" s="33">
        <f>Assumptions!$B$6+(Assumptions!$B$56+'Capex Budget'!$B$14)*(1+Assumptions!$B$60)+Assumptions!$B$6*Assumptions!$B$11+C133*Assumptions!$B$92+Assumptions!$B$93-C133</f>
        <v/>
      </c>
      <c r="E133" s="33">
        <f>-D133</f>
        <v/>
      </c>
      <c r="F133" s="33">
        <f>'Annual Model'!C60-(($A133-Assumptions!G$84)*1/5)-C133*Assumptions!$B$91</f>
        <v/>
      </c>
      <c r="G133" s="33">
        <f>'Annual Model'!D60-(($A133-Assumptions!G$84)*2/5)-C133*Assumptions!$B$91</f>
        <v/>
      </c>
      <c r="H133" s="33">
        <f>'Annual Model'!E60-(($A133-Assumptions!G$84)*3/5)-C133*Assumptions!$B$91</f>
        <v/>
      </c>
      <c r="I133" s="33">
        <f>'Annual Model'!F60-(($A133-Assumptions!G$84)*4/5)-C133*Assumptions!$B$91</f>
        <v/>
      </c>
      <c r="J133" s="33">
        <f>'Annual Model'!G60-(($A133-Assumptions!G$84)*5/5)-C133*Assumptions!$B$91+('Annual Model'!H51-($A133-Assumptions!G$84)*1.04)/Assumptions!$B$14*(1-Assumptions!$B$15)-C133</f>
        <v/>
      </c>
      <c r="K133" s="89">
        <f>IRR(E133:J133)</f>
        <v/>
      </c>
      <c r="L133" s="78">
        <f>SUM(F133:J133)/-E133</f>
        <v/>
      </c>
      <c r="M133" s="97" t="inlineStr">
        <is>
          <t>no growth from the 2025 actual</t>
        </is>
      </c>
    </row>
    <row r="134">
      <c r="A134" s="44" t="n">
        <v>160300</v>
      </c>
      <c r="B134" s="41">
        <f>A134/0.024861/Assumptions!$B$7</f>
        <v/>
      </c>
      <c r="C134" s="33">
        <f>MIN((Assumptions!$B$6+(Assumptions!$B$56+'Capex Budget'!$B$14)*(1+Assumptions!$B$60))*Assumptions!$B$88,('Annual Model'!C51-(($A134-Assumptions!G$84)*1/5))/Assumptions!$B$89,('Annual Model'!C51-(($A134-Assumptions!G$84)*1/5))/(Assumptions!$B$90*Assumptions!$B$91))</f>
        <v/>
      </c>
      <c r="D134" s="33">
        <f>Assumptions!$B$6+(Assumptions!$B$56+'Capex Budget'!$B$14)*(1+Assumptions!$B$60)+Assumptions!$B$6*Assumptions!$B$11+C134*Assumptions!$B$92+Assumptions!$B$93-C134</f>
        <v/>
      </c>
      <c r="E134" s="33">
        <f>-D134</f>
        <v/>
      </c>
      <c r="F134" s="33">
        <f>'Annual Model'!C60-(($A134-Assumptions!G$84)*1/5)-C134*Assumptions!$B$91</f>
        <v/>
      </c>
      <c r="G134" s="33">
        <f>'Annual Model'!D60-(($A134-Assumptions!G$84)*2/5)-C134*Assumptions!$B$91</f>
        <v/>
      </c>
      <c r="H134" s="33">
        <f>'Annual Model'!E60-(($A134-Assumptions!G$84)*3/5)-C134*Assumptions!$B$91</f>
        <v/>
      </c>
      <c r="I134" s="33">
        <f>'Annual Model'!F60-(($A134-Assumptions!G$84)*4/5)-C134*Assumptions!$B$91</f>
        <v/>
      </c>
      <c r="J134" s="33">
        <f>'Annual Model'!G60-(($A134-Assumptions!G$84)*5/5)-C134*Assumptions!$B$91+('Annual Model'!H51-($A134-Assumptions!G$84)*1.04)/Assumptions!$B$14*(1-Assumptions!$B$15)-C134</f>
        <v/>
      </c>
      <c r="K134" s="89">
        <f>IRR(E134:J134)</f>
        <v/>
      </c>
      <c r="L134" s="78">
        <f>SUM(F134:J134)/-E134</f>
        <v/>
      </c>
      <c r="M134" s="97" t="inlineStr">
        <is>
          <t>base case — actual bill grown 4%</t>
        </is>
      </c>
    </row>
    <row r="135">
      <c r="A135" s="44" t="n">
        <v>185000</v>
      </c>
      <c r="B135" s="41">
        <f>A135/0.024861/Assumptions!$B$7</f>
        <v/>
      </c>
      <c r="C135" s="33">
        <f>MIN((Assumptions!$B$6+(Assumptions!$B$56+'Capex Budget'!$B$14)*(1+Assumptions!$B$60))*Assumptions!$B$88,('Annual Model'!C51-(($A135-Assumptions!G$84)*1/5))/Assumptions!$B$89,('Annual Model'!C51-(($A135-Assumptions!G$84)*1/5))/(Assumptions!$B$90*Assumptions!$B$91))</f>
        <v/>
      </c>
      <c r="D135" s="33">
        <f>Assumptions!$B$6+(Assumptions!$B$56+'Capex Budget'!$B$14)*(1+Assumptions!$B$60)+Assumptions!$B$6*Assumptions!$B$11+C135*Assumptions!$B$92+Assumptions!$B$93-C135</f>
        <v/>
      </c>
      <c r="E135" s="33">
        <f>-D135</f>
        <v/>
      </c>
      <c r="F135" s="33">
        <f>'Annual Model'!C60-(($A135-Assumptions!G$84)*1/5)-C135*Assumptions!$B$91</f>
        <v/>
      </c>
      <c r="G135" s="33">
        <f>'Annual Model'!D60-(($A135-Assumptions!G$84)*2/5)-C135*Assumptions!$B$91</f>
        <v/>
      </c>
      <c r="H135" s="33">
        <f>'Annual Model'!E60-(($A135-Assumptions!G$84)*3/5)-C135*Assumptions!$B$91</f>
        <v/>
      </c>
      <c r="I135" s="33">
        <f>'Annual Model'!F60-(($A135-Assumptions!G$84)*4/5)-C135*Assumptions!$B$91</f>
        <v/>
      </c>
      <c r="J135" s="33">
        <f>'Annual Model'!G60-(($A135-Assumptions!G$84)*5/5)-C135*Assumptions!$B$91+('Annual Model'!H51-($A135-Assumptions!G$84)*1.04)/Assumptions!$B$14*(1-Assumptions!$B$15)-C135</f>
        <v/>
      </c>
      <c r="K135" s="89">
        <f>IRR(E135:J135)</f>
        <v/>
      </c>
      <c r="L135" s="78">
        <f>SUM(F135:J135)/-E135</f>
        <v/>
      </c>
      <c r="M135" s="97" t="inlineStr">
        <is>
          <t>AV to ~55% of the trade price</t>
        </is>
      </c>
    </row>
    <row r="136">
      <c r="A136" s="44" t="n">
        <v>238700</v>
      </c>
      <c r="B136" s="41">
        <f>A136/0.024861/Assumptions!$B$7</f>
        <v/>
      </c>
      <c r="C136" s="33">
        <f>MIN((Assumptions!$B$6+(Assumptions!$B$56+'Capex Budget'!$B$14)*(1+Assumptions!$B$60))*Assumptions!$B$88,('Annual Model'!C51-(($A136-Assumptions!G$84)*1/5))/Assumptions!$B$89,('Annual Model'!C51-(($A136-Assumptions!G$84)*1/5))/(Assumptions!$B$90*Assumptions!$B$91))</f>
        <v/>
      </c>
      <c r="D136" s="33">
        <f>Assumptions!$B$6+(Assumptions!$B$56+'Capex Budget'!$B$14)*(1+Assumptions!$B$60)+Assumptions!$B$6*Assumptions!$B$11+C136*Assumptions!$B$92+Assumptions!$B$93-C136</f>
        <v/>
      </c>
      <c r="E136" s="33">
        <f>-D136</f>
        <v/>
      </c>
      <c r="F136" s="33">
        <f>'Annual Model'!C60-(($A136-Assumptions!G$84)*1/5)-C136*Assumptions!$B$91</f>
        <v/>
      </c>
      <c r="G136" s="33">
        <f>'Annual Model'!D60-(($A136-Assumptions!G$84)*2/5)-C136*Assumptions!$B$91</f>
        <v/>
      </c>
      <c r="H136" s="33">
        <f>'Annual Model'!E60-(($A136-Assumptions!G$84)*3/5)-C136*Assumptions!$B$91</f>
        <v/>
      </c>
      <c r="I136" s="33">
        <f>'Annual Model'!F60-(($A136-Assumptions!G$84)*4/5)-C136*Assumptions!$B$91</f>
        <v/>
      </c>
      <c r="J136" s="33">
        <f>'Annual Model'!G60-(($A136-Assumptions!G$84)*5/5)-C136*Assumptions!$B$91+('Annual Model'!H51-($A136-Assumptions!G$84)*1.04)/Assumptions!$B$14*(1-Assumptions!$B$15)-C136</f>
        <v/>
      </c>
      <c r="K136" s="89">
        <f>IRR(E136:J136)</f>
        <v/>
      </c>
      <c r="L136" s="78">
        <f>SUM(F136:J136)/-E136</f>
        <v/>
      </c>
      <c r="M136" s="97" t="inlineStr">
        <is>
          <t>AV to 69% of the trade price (OM comp average)</t>
        </is>
      </c>
    </row>
    <row r="137">
      <c r="A137" s="44" t="n">
        <v>294000</v>
      </c>
      <c r="B137" s="41">
        <f>A137/0.024861/Assumptions!$B$7</f>
        <v/>
      </c>
      <c r="C137" s="33">
        <f>MIN((Assumptions!$B$6+(Assumptions!$B$56+'Capex Budget'!$B$14)*(1+Assumptions!$B$60))*Assumptions!$B$88,('Annual Model'!C51-(($A137-Assumptions!G$84)*1/5))/Assumptions!$B$89,('Annual Model'!C51-(($A137-Assumptions!G$84)*1/5))/(Assumptions!$B$90*Assumptions!$B$91))</f>
        <v/>
      </c>
      <c r="D137" s="33">
        <f>Assumptions!$B$6+(Assumptions!$B$56+'Capex Budget'!$B$14)*(1+Assumptions!$B$60)+Assumptions!$B$6*Assumptions!$B$11+C137*Assumptions!$B$92+Assumptions!$B$93-C137</f>
        <v/>
      </c>
      <c r="E137" s="33">
        <f>-D137</f>
        <v/>
      </c>
      <c r="F137" s="33">
        <f>'Annual Model'!C60-(($A137-Assumptions!G$84)*1/5)-C137*Assumptions!$B$91</f>
        <v/>
      </c>
      <c r="G137" s="33">
        <f>'Annual Model'!D60-(($A137-Assumptions!G$84)*2/5)-C137*Assumptions!$B$91</f>
        <v/>
      </c>
      <c r="H137" s="33">
        <f>'Annual Model'!E60-(($A137-Assumptions!G$84)*3/5)-C137*Assumptions!$B$91</f>
        <v/>
      </c>
      <c r="I137" s="33">
        <f>'Annual Model'!F60-(($A137-Assumptions!G$84)*4/5)-C137*Assumptions!$B$91</f>
        <v/>
      </c>
      <c r="J137" s="33">
        <f>'Annual Model'!G60-(($A137-Assumptions!G$84)*5/5)-C137*Assumptions!$B$91+('Annual Model'!H51-($A137-Assumptions!G$84)*1.04)/Assumptions!$B$14*(1-Assumptions!$B$15)-C137</f>
        <v/>
      </c>
      <c r="K137" s="89">
        <f>IRR(E137:J137)</f>
        <v/>
      </c>
      <c r="L137" s="78">
        <f>SUM(F137:J137)/-E137</f>
        <v/>
      </c>
      <c r="M137" s="97" t="inlineStr">
        <is>
          <t>AV to 85% of the trade price</t>
        </is>
      </c>
    </row>
    <row r="139" ht="56" customHeight="1">
      <c r="A139" s="12" t="inlineStr">
        <is>
          <t>Marion County parcel 8000002 has carried a gross assessed value between $5.1mm and $6.6mm every year since 2012, and the last assessment change was recorded 03/15/2022. The 2006 sale at $4.4mm did not reset it. Indiana values apartments at the LOWEST of the income, market and cost approaches, which is why assessed value has never tracked trade prices here. That history is the reason the base case grows the actual $129,648 bill at 4% rather than stepping it to a share of the purchase price — but the risk is real and this ladder prices it.</t>
        </is>
      </c>
    </row>
  </sheetData>
  <mergeCells count="13">
    <mergeCell ref="A66:M66"/>
    <mergeCell ref="A53:H53"/>
    <mergeCell ref="A5:M5"/>
    <mergeCell ref="A110:M110"/>
    <mergeCell ref="A67:M67"/>
    <mergeCell ref="A43:H43"/>
    <mergeCell ref="A111:M111"/>
    <mergeCell ref="A131:M131"/>
    <mergeCell ref="A100:G100"/>
    <mergeCell ref="A139:M139"/>
    <mergeCell ref="A122:M122"/>
    <mergeCell ref="A113:M113"/>
    <mergeCell ref="A55:F55"/>
  </mergeCells>
  <printOptions horizontalCentered="0"/>
  <pageMargins left="0.4" right="0.4" top="0.5" bottom="0.5"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H6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5" customWidth="1" min="3" max="3"/>
    <col width="15" customWidth="1" min="4" max="4"/>
    <col width="12" customWidth="1" min="5" max="5"/>
    <col width="15" customWidth="1" min="6" max="6"/>
    <col width="14" customWidth="1" min="7" max="7"/>
    <col width="60" customWidth="1" min="8" max="8"/>
  </cols>
  <sheetData>
    <row r="1">
      <c r="A1" s="1" t="inlineStr">
        <is>
          <t>CHATEAU IN THE WOODS  |  4020 Monaco Drive, Indianapolis, IN 46220  |  118 Units</t>
        </is>
      </c>
    </row>
    <row r="2">
      <c r="A2" s="2" t="inlineStr">
        <is>
          <t>Marion County Parcel 8000002 — 25-Year Assessment and Tax Record</t>
        </is>
      </c>
    </row>
    <row r="3">
      <c r="A3" s="3" t="inlineStr">
        <is>
          <t>Blue = hardcoded input / lever   ·   Black = formula   ·   Green = link to another sheet   ·   Yellow fill = key assumption</t>
        </is>
      </c>
    </row>
    <row r="5">
      <c r="A5" s="4" t="inlineStr">
        <is>
          <t>PARCEL</t>
        </is>
      </c>
      <c r="B5" s="5" t="n"/>
      <c r="C5" s="5" t="n"/>
      <c r="D5" s="5" t="n"/>
      <c r="E5" s="5" t="n"/>
      <c r="F5" s="5" t="n"/>
      <c r="G5" s="5" t="n"/>
      <c r="H5" s="5" t="n"/>
    </row>
    <row r="6">
      <c r="A6" s="10" t="inlineStr">
        <is>
          <t>Parcel Number</t>
        </is>
      </c>
      <c r="B6" s="98" t="inlineStr">
        <is>
          <t>8000002</t>
        </is>
      </c>
    </row>
    <row r="7">
      <c r="A7" s="10" t="inlineStr">
        <is>
          <t>State Parcel Number</t>
        </is>
      </c>
      <c r="B7" s="98" t="inlineStr">
        <is>
          <t>49-07-04-115-001.000-800</t>
        </is>
      </c>
    </row>
    <row r="8">
      <c r="A8" s="10" t="inlineStr">
        <is>
          <t>Owner of Record</t>
        </is>
      </c>
      <c r="B8" s="98" t="inlineStr">
        <is>
          <t>4020 MONACO DRIVE OWNER LLC</t>
        </is>
      </c>
    </row>
    <row r="9">
      <c r="A9" s="10" t="inlineStr">
        <is>
          <t>Use Code</t>
        </is>
      </c>
      <c r="B9" s="98" t="inlineStr">
        <is>
          <t>403 (apartments)</t>
        </is>
      </c>
    </row>
    <row r="10">
      <c r="A10" s="10" t="inlineStr">
        <is>
          <t>Tax District</t>
        </is>
      </c>
      <c r="B10" s="98" t="inlineStr">
        <is>
          <t>800</t>
        </is>
      </c>
    </row>
    <row r="11">
      <c r="A11" s="10" t="inlineStr">
        <is>
          <t>Year Built</t>
        </is>
      </c>
      <c r="B11" s="98" t="inlineStr">
        <is>
          <t>1974</t>
        </is>
      </c>
    </row>
    <row r="12">
      <c r="A12" s="10" t="inlineStr">
        <is>
          <t>Acreage</t>
        </is>
      </c>
      <c r="B12" s="98" t="inlineStr">
        <is>
          <t>9.40</t>
        </is>
      </c>
    </row>
    <row r="13">
      <c r="A13" s="10" t="inlineStr">
        <is>
          <t>Deed Type</t>
        </is>
      </c>
      <c r="B13" s="98" t="inlineStr">
        <is>
          <t>Special Warranty Deed</t>
        </is>
      </c>
    </row>
    <row r="14">
      <c r="A14" s="10" t="inlineStr">
        <is>
          <t>Deed Date</t>
        </is>
      </c>
      <c r="B14" s="98" t="inlineStr">
        <is>
          <t>12 June 2026</t>
        </is>
      </c>
    </row>
    <row r="15">
      <c r="A15" s="10" t="inlineStr">
        <is>
          <t>Recorded</t>
        </is>
      </c>
      <c r="B15" s="98" t="inlineStr">
        <is>
          <t>26 June 2026</t>
        </is>
      </c>
    </row>
    <row r="16">
      <c r="A16" s="10" t="inlineStr">
        <is>
          <t>Last Assessment Change</t>
        </is>
      </c>
      <c r="B16" s="98" t="inlineStr">
        <is>
          <t>15 March 2022</t>
        </is>
      </c>
    </row>
    <row r="18">
      <c r="A18" s="4" t="inlineStr">
        <is>
          <t>ASSESSMENT AND TAX HISTORY</t>
        </is>
      </c>
      <c r="B18" s="5" t="n"/>
      <c r="C18" s="5" t="n"/>
      <c r="D18" s="5" t="n"/>
      <c r="E18" s="5" t="n"/>
      <c r="F18" s="5" t="n"/>
      <c r="G18" s="5" t="n"/>
      <c r="H18" s="5" t="n"/>
    </row>
    <row r="19">
      <c r="A19" s="28" t="inlineStr">
        <is>
          <t>Tax Year</t>
        </is>
      </c>
      <c r="B19" s="28" t="inlineStr">
        <is>
          <t>Land AV</t>
        </is>
      </c>
      <c r="C19" s="28" t="inlineStr">
        <is>
          <t>Improvements</t>
        </is>
      </c>
      <c r="D19" s="28" t="inlineStr">
        <is>
          <t>Gross AV</t>
        </is>
      </c>
      <c r="E19" s="28" t="inlineStr">
        <is>
          <t>Tax Rate</t>
        </is>
      </c>
      <c r="F19" s="28" t="inlineStr">
        <is>
          <t>Net Annual Tax</t>
        </is>
      </c>
      <c r="G19" s="28" t="inlineStr">
        <is>
          <t>Tax / Unit</t>
        </is>
      </c>
      <c r="H19" s="8" t="inlineStr">
        <is>
          <t>Note</t>
        </is>
      </c>
    </row>
    <row r="20">
      <c r="A20" s="32" t="inlineStr">
        <is>
          <t>2025</t>
        </is>
      </c>
      <c r="B20" s="44" t="n">
        <v>1085500</v>
      </c>
      <c r="C20" s="44" t="n">
        <v>4462300</v>
      </c>
      <c r="D20" s="33">
        <f>B20+C20</f>
        <v/>
      </c>
      <c r="E20" s="88" t="n">
        <v>0.024861</v>
      </c>
      <c r="F20" s="44" t="n">
        <v>129648.42</v>
      </c>
      <c r="G20" s="33">
        <f>F20/Assumptions!$B$19</f>
        <v/>
      </c>
      <c r="H20" s="12" t="inlineStr">
        <is>
          <t>Gross AV less a $332,868 '2% deduction' = $5,214,932 net</t>
        </is>
      </c>
    </row>
    <row r="21">
      <c r="A21" s="32" t="inlineStr">
        <is>
          <t>2024</t>
        </is>
      </c>
      <c r="B21" s="44" t="n">
        <v>1085500</v>
      </c>
      <c r="C21" s="44" t="n">
        <v>4021100</v>
      </c>
      <c r="D21" s="33">
        <f>B21+C21</f>
        <v/>
      </c>
      <c r="E21" s="88" t="n">
        <v>0.0254</v>
      </c>
      <c r="F21" s="44" t="n">
        <v>129656.56</v>
      </c>
      <c r="G21" s="33">
        <f>F21/Assumptions!$B$19</f>
        <v/>
      </c>
    </row>
    <row r="22">
      <c r="A22" s="32" t="inlineStr">
        <is>
          <t>2023</t>
        </is>
      </c>
      <c r="B22" s="44" t="n">
        <v>1085500</v>
      </c>
      <c r="C22" s="44" t="n">
        <v>5471600</v>
      </c>
      <c r="D22" s="33">
        <f>B22+C22</f>
        <v/>
      </c>
      <c r="E22" s="88" t="n">
        <v>0.0254</v>
      </c>
      <c r="F22" s="44" t="n">
        <v>166425.76</v>
      </c>
      <c r="G22" s="33">
        <f>F22/Assumptions!$B$19</f>
        <v/>
      </c>
      <c r="H22" s="12" t="inlineStr">
        <is>
          <t>25-year peak assessed value</t>
        </is>
      </c>
    </row>
    <row r="23">
      <c r="A23" s="32" t="inlineStr">
        <is>
          <t>2022</t>
        </is>
      </c>
      <c r="B23" s="44" t="n">
        <v>1085500</v>
      </c>
      <c r="C23" s="44" t="n">
        <v>4678300</v>
      </c>
      <c r="D23" s="33">
        <f>B23+C23</f>
        <v/>
      </c>
      <c r="E23" s="88" t="n">
        <v>0.0257</v>
      </c>
      <c r="F23" s="44" t="n">
        <v>147893.34</v>
      </c>
      <c r="G23" s="33">
        <f>F23/Assumptions!$B$19</f>
        <v/>
      </c>
      <c r="H23" s="12" t="inlineStr">
        <is>
          <t>Last assessment change recorded 15 March 2022</t>
        </is>
      </c>
    </row>
    <row r="24">
      <c r="A24" s="32" t="inlineStr">
        <is>
          <t>2021</t>
        </is>
      </c>
      <c r="B24" s="44" t="n">
        <v>986800</v>
      </c>
      <c r="C24" s="44" t="n">
        <v>4337100</v>
      </c>
      <c r="D24" s="33">
        <f>B24+C24</f>
        <v/>
      </c>
      <c r="E24" s="88" t="n">
        <v>0.027</v>
      </c>
      <c r="F24" s="44" t="n">
        <v>139656.54</v>
      </c>
      <c r="G24" s="33">
        <f>F24/Assumptions!$B$19</f>
        <v/>
      </c>
    </row>
    <row r="25">
      <c r="A25" s="32" t="inlineStr">
        <is>
          <t>2020</t>
        </is>
      </c>
      <c r="B25" s="44" t="n">
        <v>986800</v>
      </c>
      <c r="C25" s="44" t="n">
        <v>4343900</v>
      </c>
      <c r="D25" s="33">
        <f>B25+C25</f>
        <v/>
      </c>
      <c r="E25" s="88" t="n">
        <v>0.0259</v>
      </c>
      <c r="F25" s="44" t="n">
        <v>132409.24</v>
      </c>
      <c r="G25" s="33">
        <f>F25/Assumptions!$B$19</f>
        <v/>
      </c>
    </row>
    <row r="26">
      <c r="A26" s="32" t="inlineStr">
        <is>
          <t>2019</t>
        </is>
      </c>
      <c r="B26" s="44" t="n">
        <v>986800</v>
      </c>
      <c r="C26" s="44" t="n">
        <v>4654600</v>
      </c>
      <c r="D26" s="33">
        <f>B26+C26</f>
        <v/>
      </c>
      <c r="E26" s="88" t="n">
        <v>0.0244</v>
      </c>
      <c r="F26" s="44" t="n">
        <v>131783.1</v>
      </c>
      <c r="G26" s="33">
        <f>F26/Assumptions!$B$19</f>
        <v/>
      </c>
    </row>
    <row r="27">
      <c r="A27" s="32" t="inlineStr">
        <is>
          <t>2018</t>
        </is>
      </c>
      <c r="B27" s="44" t="n">
        <v>986800</v>
      </c>
      <c r="C27" s="44" t="n">
        <v>4654600</v>
      </c>
      <c r="D27" s="33">
        <f>B27+C27</f>
        <v/>
      </c>
      <c r="E27" s="88" t="n">
        <v>0.0239</v>
      </c>
      <c r="F27" s="44" t="n">
        <v>128832.64</v>
      </c>
      <c r="G27" s="33">
        <f>F27/Assumptions!$B$19</f>
        <v/>
      </c>
    </row>
    <row r="28">
      <c r="A28" s="32" t="inlineStr">
        <is>
          <t>2017</t>
        </is>
      </c>
      <c r="B28" s="44" t="n">
        <v>986800</v>
      </c>
      <c r="C28" s="44" t="n">
        <v>4453700</v>
      </c>
      <c r="D28" s="33">
        <f>B28+C28</f>
        <v/>
      </c>
      <c r="E28" s="88" t="n">
        <v>0.0237</v>
      </c>
      <c r="F28" s="44" t="n">
        <v>122802.98</v>
      </c>
      <c r="G28" s="33">
        <f>F28/Assumptions!$B$19</f>
        <v/>
      </c>
    </row>
    <row r="29">
      <c r="A29" s="32" t="inlineStr">
        <is>
          <t>2016</t>
        </is>
      </c>
      <c r="B29" s="44" t="n">
        <v>986800</v>
      </c>
      <c r="C29" s="44" t="n">
        <v>4210700</v>
      </c>
      <c r="D29" s="33">
        <f>B29+C29</f>
        <v/>
      </c>
      <c r="E29" s="88" t="n">
        <v>0.0225</v>
      </c>
      <c r="F29" s="44" t="n">
        <v>109667.24</v>
      </c>
      <c r="G29" s="33">
        <f>F29/Assumptions!$B$19</f>
        <v/>
      </c>
    </row>
    <row r="30">
      <c r="A30" s="32" t="inlineStr">
        <is>
          <t>2015</t>
        </is>
      </c>
      <c r="B30" s="44" t="n">
        <v>986800</v>
      </c>
      <c r="C30" s="44" t="n">
        <v>4216800</v>
      </c>
      <c r="D30" s="33">
        <f>B30+C30</f>
        <v/>
      </c>
      <c r="E30" s="88" t="n">
        <v>0.0207</v>
      </c>
      <c r="F30" s="44" t="n">
        <v>107771.76</v>
      </c>
      <c r="G30" s="33">
        <f>F30/Assumptions!$B$19</f>
        <v/>
      </c>
    </row>
    <row r="31">
      <c r="A31" s="32" t="inlineStr">
        <is>
          <t>2014</t>
        </is>
      </c>
      <c r="B31" s="44" t="n">
        <v>986800</v>
      </c>
      <c r="C31" s="44" t="n">
        <v>4310000</v>
      </c>
      <c r="D31" s="33">
        <f>B31+C31</f>
        <v/>
      </c>
      <c r="E31" s="88" t="n">
        <v>0.0206</v>
      </c>
      <c r="F31" s="44" t="n">
        <v>109172.34</v>
      </c>
      <c r="G31" s="33">
        <f>F31/Assumptions!$B$19</f>
        <v/>
      </c>
    </row>
    <row r="32">
      <c r="A32" s="32" t="inlineStr">
        <is>
          <t>2013</t>
        </is>
      </c>
      <c r="B32" s="44" t="n">
        <v>986900</v>
      </c>
      <c r="C32" s="44" t="n">
        <v>4310000</v>
      </c>
      <c r="D32" s="33">
        <f>B32+C32</f>
        <v/>
      </c>
      <c r="E32" s="88" t="n">
        <v>0.022</v>
      </c>
      <c r="F32" s="44" t="n">
        <v>110175.5</v>
      </c>
      <c r="G32" s="33">
        <f>F32/Assumptions!$B$19</f>
        <v/>
      </c>
    </row>
    <row r="33">
      <c r="A33" s="32" t="inlineStr">
        <is>
          <t>2012</t>
        </is>
      </c>
      <c r="B33" s="44" t="n">
        <v>986900</v>
      </c>
      <c r="C33" s="44" t="n">
        <v>4310000</v>
      </c>
      <c r="D33" s="33">
        <f>B33+C33</f>
        <v/>
      </c>
      <c r="E33" s="88" t="n">
        <v>0.0202</v>
      </c>
      <c r="F33" s="44" t="n">
        <v>106806.68</v>
      </c>
      <c r="G33" s="33">
        <f>F33/Assumptions!$B$19</f>
        <v/>
      </c>
      <c r="H33" s="12" t="inlineStr">
        <is>
          <t>Assessed value has been range-bound ever since</t>
        </is>
      </c>
    </row>
    <row r="34">
      <c r="A34" s="32" t="inlineStr">
        <is>
          <t>2011</t>
        </is>
      </c>
      <c r="B34" s="44" t="n">
        <v>511800</v>
      </c>
      <c r="C34" s="44" t="n">
        <v>2988300</v>
      </c>
      <c r="D34" s="33">
        <f>B34+C34</f>
        <v/>
      </c>
      <c r="E34" s="88" t="n">
        <v>0.0195</v>
      </c>
      <c r="F34" s="44" t="n">
        <v>68118.96000000001</v>
      </c>
      <c r="G34" s="33">
        <f>F34/Assumptions!$B$19</f>
        <v/>
      </c>
    </row>
    <row r="35">
      <c r="A35" s="32" t="inlineStr">
        <is>
          <t>2010</t>
        </is>
      </c>
      <c r="B35" s="44" t="n">
        <v>511800</v>
      </c>
      <c r="C35" s="44" t="n">
        <v>2988300</v>
      </c>
      <c r="D35" s="33">
        <f>B35+C35</f>
        <v/>
      </c>
      <c r="E35" s="88" t="n">
        <v>0.0191</v>
      </c>
      <c r="F35" s="44" t="n">
        <v>67005.92</v>
      </c>
      <c r="G35" s="33">
        <f>F35/Assumptions!$B$19</f>
        <v/>
      </c>
    </row>
    <row r="36">
      <c r="A36" s="32" t="inlineStr">
        <is>
          <t>2009</t>
        </is>
      </c>
      <c r="B36" s="44" t="n">
        <v>511800</v>
      </c>
      <c r="C36" s="44" t="n">
        <v>3536200</v>
      </c>
      <c r="D36" s="33">
        <f>B36+C36</f>
        <v/>
      </c>
      <c r="E36" s="88" t="n">
        <v>0.0175</v>
      </c>
      <c r="F36" s="44" t="n">
        <v>70937.14</v>
      </c>
      <c r="G36" s="33">
        <f>F36/Assumptions!$B$19</f>
        <v/>
      </c>
    </row>
    <row r="37">
      <c r="A37" s="32" t="inlineStr">
        <is>
          <t>2008</t>
        </is>
      </c>
      <c r="B37" s="44" t="n">
        <v>511800</v>
      </c>
      <c r="C37" s="44" t="n">
        <v>3536300</v>
      </c>
      <c r="D37" s="33">
        <f>B37+C37</f>
        <v/>
      </c>
      <c r="E37" s="88" t="n">
        <v>0.0181</v>
      </c>
      <c r="F37" s="44" t="n">
        <v>73396.10000000001</v>
      </c>
      <c r="G37" s="33">
        <f>F37/Assumptions!$B$19</f>
        <v/>
      </c>
    </row>
    <row r="38">
      <c r="A38" s="32" t="inlineStr">
        <is>
          <t>2007</t>
        </is>
      </c>
      <c r="B38" s="44" t="n">
        <v>511800</v>
      </c>
      <c r="C38" s="44" t="n">
        <v>3536200</v>
      </c>
      <c r="D38" s="33">
        <f>B38+C38</f>
        <v/>
      </c>
      <c r="E38" s="88" t="n">
        <v>0.0239</v>
      </c>
      <c r="F38" s="44" t="n">
        <v>74739.82000000001</v>
      </c>
      <c r="G38" s="33">
        <f>F38/Assumptions!$B$19</f>
        <v/>
      </c>
      <c r="H38" s="12" t="inlineStr">
        <is>
          <t>AV FELL the year after the March 2006 sale</t>
        </is>
      </c>
    </row>
    <row r="39">
      <c r="A39" s="32" t="inlineStr">
        <is>
          <t>2006</t>
        </is>
      </c>
      <c r="B39" s="44" t="n">
        <v>694000</v>
      </c>
      <c r="C39" s="44" t="n">
        <v>4562800</v>
      </c>
      <c r="D39" s="33">
        <f>B39+C39</f>
        <v/>
      </c>
      <c r="E39" s="88" t="n">
        <v>0.0245</v>
      </c>
      <c r="F39" s="44" t="n">
        <v>97947.12</v>
      </c>
      <c r="G39" s="33">
        <f>F39/Assumptions!$B$19</f>
        <v/>
      </c>
      <c r="H39" s="12" t="inlineStr">
        <is>
          <t>Property sold 28 March 2006 for $4,400,000 (flagged 'N')</t>
        </is>
      </c>
    </row>
    <row r="40">
      <c r="A40" s="32" t="inlineStr">
        <is>
          <t>2005</t>
        </is>
      </c>
      <c r="B40" s="44" t="n">
        <v>257600</v>
      </c>
      <c r="C40" s="44" t="n">
        <v>3963400</v>
      </c>
      <c r="D40" s="33">
        <f>B40+C40</f>
        <v/>
      </c>
      <c r="E40" s="88" t="n">
        <v>0.0256</v>
      </c>
      <c r="F40" s="44" t="n">
        <v>78113.25999999999</v>
      </c>
      <c r="G40" s="33">
        <f>F40/Assumptions!$B$19</f>
        <v/>
      </c>
    </row>
    <row r="41">
      <c r="A41" s="32" t="inlineStr">
        <is>
          <t>2004</t>
        </is>
      </c>
      <c r="B41" s="44" t="n">
        <v>257600</v>
      </c>
      <c r="C41" s="44" t="n">
        <v>3963400</v>
      </c>
      <c r="D41" s="33">
        <f>B41+C41</f>
        <v/>
      </c>
      <c r="E41" s="88" t="n">
        <v>0.0248</v>
      </c>
      <c r="F41" s="44" t="n">
        <v>77326.46000000001</v>
      </c>
      <c r="G41" s="33">
        <f>F41/Assumptions!$B$19</f>
        <v/>
      </c>
    </row>
    <row r="42">
      <c r="A42" s="32" t="inlineStr">
        <is>
          <t>2003</t>
        </is>
      </c>
      <c r="B42" s="44" t="n">
        <v>257600</v>
      </c>
      <c r="C42" s="44" t="n">
        <v>3963400</v>
      </c>
      <c r="D42" s="33">
        <f>B42+C42</f>
        <v/>
      </c>
      <c r="E42" s="88" t="n">
        <v>0.0228</v>
      </c>
      <c r="F42" s="44" t="n">
        <v>67727.89999999999</v>
      </c>
      <c r="G42" s="33">
        <f>F42/Assumptions!$B$19</f>
        <v/>
      </c>
    </row>
    <row r="43">
      <c r="A43" s="32" t="inlineStr">
        <is>
          <t>2002</t>
        </is>
      </c>
      <c r="B43" s="44" t="n">
        <v>257600</v>
      </c>
      <c r="C43" s="44" t="n">
        <v>3963400</v>
      </c>
      <c r="D43" s="33">
        <f>B43+C43</f>
        <v/>
      </c>
      <c r="E43" s="88" t="n">
        <v>0.0247</v>
      </c>
      <c r="F43" s="44" t="n">
        <v>75149.16</v>
      </c>
      <c r="G43" s="33">
        <f>F43/Assumptions!$B$19</f>
        <v/>
      </c>
    </row>
    <row r="44">
      <c r="A44" s="32" t="inlineStr">
        <is>
          <t>2001</t>
        </is>
      </c>
      <c r="B44" s="44" t="n">
        <v>329000</v>
      </c>
      <c r="C44" s="44" t="n">
        <v>2313000</v>
      </c>
      <c r="D44" s="33">
        <f>B44+C44</f>
        <v/>
      </c>
      <c r="E44" s="88" t="n">
        <v>0.0326</v>
      </c>
      <c r="F44" s="44" t="n">
        <v>73755.89999999999</v>
      </c>
      <c r="G44" s="33">
        <f>F44/Assumptions!$B$19</f>
        <v/>
      </c>
    </row>
    <row r="45">
      <c r="A45" s="32" t="inlineStr">
        <is>
          <t>2000</t>
        </is>
      </c>
      <c r="B45" s="44" t="n">
        <v>141000</v>
      </c>
      <c r="C45" s="44" t="n">
        <v>771000</v>
      </c>
      <c r="D45" s="33">
        <f>B45+C45</f>
        <v/>
      </c>
      <c r="E45" s="88" t="n">
        <v>0.0936</v>
      </c>
      <c r="F45" s="44" t="n">
        <v>73385.75999999999</v>
      </c>
      <c r="G45" s="33">
        <f>F45/Assumptions!$B$19</f>
        <v/>
      </c>
      <c r="H45" s="12" t="inlineStr">
        <is>
          <t>Pre-2002 assessment methodology; not comparable</t>
        </is>
      </c>
    </row>
    <row r="47">
      <c r="A47" s="4" t="inlineStr">
        <is>
          <t>WHAT THE RECORD IMPLIES FOR THE UNDERWRITING</t>
        </is>
      </c>
      <c r="B47" s="5" t="n"/>
      <c r="C47" s="5" t="n"/>
      <c r="D47" s="5" t="n"/>
      <c r="E47" s="5" t="n"/>
      <c r="F47" s="5" t="n"/>
      <c r="G47" s="5" t="n"/>
      <c r="H47" s="5" t="n"/>
    </row>
    <row r="48">
      <c r="A48" s="10" t="inlineStr">
        <is>
          <t>Gross AV, 2012</t>
        </is>
      </c>
      <c r="D48" s="46">
        <f>D33</f>
        <v/>
      </c>
    </row>
    <row r="49">
      <c r="A49" s="10" t="inlineStr">
        <is>
          <t>Gross AV, 2025</t>
        </is>
      </c>
      <c r="D49" s="46">
        <f>D20</f>
        <v/>
      </c>
    </row>
    <row r="50" ht="28" customHeight="1">
      <c r="A50" s="10" t="inlineStr">
        <is>
          <t xml:space="preserve">  Compound annual growth, 2012-2025</t>
        </is>
      </c>
      <c r="D50" s="59">
        <f>(D20/D33)^(1/13)-1</f>
        <v/>
      </c>
      <c r="H50" s="12" t="inlineStr">
        <is>
          <t>Assessed value has effectively stood still for thirteen years.</t>
        </is>
      </c>
    </row>
    <row r="51">
      <c r="A51" s="10" t="inlineStr">
        <is>
          <t>Net tax, 2012</t>
        </is>
      </c>
      <c r="D51" s="46">
        <f>F33</f>
        <v/>
      </c>
    </row>
    <row r="52">
      <c r="A52" s="10" t="inlineStr">
        <is>
          <t>Net tax, 2025</t>
        </is>
      </c>
      <c r="D52" s="46">
        <f>F20</f>
        <v/>
      </c>
    </row>
    <row r="53" ht="28" customHeight="1">
      <c r="A53" s="10" t="inlineStr">
        <is>
          <t xml:space="preserve">  Compound annual growth, 2012-2025</t>
        </is>
      </c>
      <c r="D53" s="59">
        <f>(F20/F33)^(1/13)-1</f>
        <v/>
      </c>
      <c r="H53" s="12" t="inlineStr">
        <is>
          <t>The bill has risen with the RATE, not the assessment.</t>
        </is>
      </c>
    </row>
    <row r="54">
      <c r="A54" s="10" t="inlineStr">
        <is>
          <t>Highest gross AV on record (2023)</t>
        </is>
      </c>
      <c r="D54" s="46">
        <f>MAX(D20:D45)</f>
        <v/>
      </c>
    </row>
    <row r="55" ht="28" customHeight="1">
      <c r="A55" s="10" t="inlineStr">
        <is>
          <t>2025 gross AV as a % of the 2026 trade price</t>
        </is>
      </c>
      <c r="D55" s="89">
        <f>D20/Assumptions!$B$7</f>
        <v/>
      </c>
      <c r="H55" s="12" t="inlineStr">
        <is>
          <t>The OM's own comp study assumes assessed value runs at about 69% of sale price after a trade. This parcel is at 41% BEFORE any reassessment.</t>
        </is>
      </c>
    </row>
    <row r="56">
      <c r="A56" s="10" t="inlineStr">
        <is>
          <t>Year-1 tax underwritten</t>
        </is>
      </c>
      <c r="D56" s="46">
        <f>Assumptions!C$84</f>
        <v/>
      </c>
    </row>
    <row r="57" ht="28" customHeight="1">
      <c r="A57" s="10" t="inlineStr">
        <is>
          <t>Year-5 tax underwritten</t>
        </is>
      </c>
      <c r="D57" s="46">
        <f>Assumptions!G$84</f>
        <v/>
      </c>
      <c r="H57" s="12" t="inlineStr">
        <is>
          <t>Base case grows the actual bill at 4% a year — well above the 1.5% the record shows.</t>
        </is>
      </c>
    </row>
    <row r="58" ht="28" customHeight="1">
      <c r="A58" s="10" t="inlineStr">
        <is>
          <t>Year-5 tax if AV reset to 69% of the trade price</t>
        </is>
      </c>
      <c r="D58" s="46">
        <f>Assumptions!$B$7*0.69*0.024861</f>
        <v/>
      </c>
      <c r="H58" s="12" t="inlineStr">
        <is>
          <t>Priced as Ladder C on the Sensitivities tab, not in the base case.</t>
        </is>
      </c>
    </row>
    <row r="60" ht="60" customHeight="1">
      <c r="A60" s="12" t="inlineStr">
        <is>
          <t>Why this matters. Indiana values apartments at the LOWEST of the income, market and cost approaches, and this record shows the result: the 2006 sale at $4,400,000 was followed by assessed value FALLING the next year, and assessed value has stayed between $5.1mm and $6.6mm every year since 2012 while the property traded twice. An earlier draft of this model stepped taxes from $140,000 to $210,000 on the assumption that a sale resets the assessment. The public record does not support that, and correcting it is worth roughly 1.5 points of levered IRR. The risk has not been dismissed — it is priced explicitly in Ladder C.</t>
        </is>
      </c>
    </row>
  </sheetData>
  <mergeCells count="15">
    <mergeCell ref="A18:H18"/>
    <mergeCell ref="A49:C49"/>
    <mergeCell ref="A55:C55"/>
    <mergeCell ref="A58:C58"/>
    <mergeCell ref="A56:C56"/>
    <mergeCell ref="A60:H60"/>
    <mergeCell ref="A47:H47"/>
    <mergeCell ref="A5:H5"/>
    <mergeCell ref="A50:C50"/>
    <mergeCell ref="A53:C53"/>
    <mergeCell ref="A48:C48"/>
    <mergeCell ref="A57:C57"/>
    <mergeCell ref="A54:C54"/>
    <mergeCell ref="A51:C51"/>
    <mergeCell ref="A52:C52"/>
  </mergeCells>
  <printOptions horizontalCentered="0"/>
  <pageMargins left="0.4" right="0.4" top="0.5" bottom="0.5"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74" customWidth="1" min="3" max="3"/>
    <col width="60" customWidth="1" min="4" max="4"/>
    <col width="12" customWidth="1" min="5" max="5"/>
  </cols>
  <sheetData>
    <row r="1">
      <c r="A1" s="1" t="inlineStr">
        <is>
          <t>CHATEAU IN THE WOODS  |  4020 Monaco Drive, Indianapolis, IN 46220  |  118 Units</t>
        </is>
      </c>
    </row>
    <row r="2">
      <c r="A2" s="2" t="inlineStr">
        <is>
          <t>Due Diligence &amp; Seller / Broker Question List — with the answer assumed in this model</t>
        </is>
      </c>
    </row>
    <row r="3">
      <c r="A3" s="3" t="inlineStr">
        <is>
          <t>Blue = hardcoded input / lever   ·   Black = formula   ·   Green = link to another sheet   ·   Yellow fill = key assumption</t>
        </is>
      </c>
    </row>
    <row r="5">
      <c r="A5" s="28" t="inlineStr">
        <is>
          <t>#</t>
        </is>
      </c>
      <c r="B5" s="8" t="inlineStr">
        <is>
          <t>Category</t>
        </is>
      </c>
      <c r="C5" s="8" t="inlineStr">
        <is>
          <t>Question for the seller / broker</t>
        </is>
      </c>
      <c r="D5" s="8" t="inlineStr">
        <is>
          <t>Reasonable answer assumed in this model</t>
        </is>
      </c>
      <c r="E5" s="28" t="inlineStr">
        <is>
          <t>Priority</t>
        </is>
      </c>
    </row>
    <row r="6">
      <c r="A6" s="10" t="inlineStr"/>
      <c r="B6" s="8" t="inlineStr">
        <is>
          <t>1. RENT ROLL, LEASES &amp; LEASING PERFORMANCE</t>
        </is>
      </c>
      <c r="C6" s="99" t="n"/>
      <c r="D6" s="99" t="n"/>
      <c r="E6" s="99" t="n"/>
    </row>
    <row r="7" ht="39" customHeight="1">
      <c r="A7" s="100" t="n">
        <v>1</v>
      </c>
      <c r="B7" s="101" t="inlineStr">
        <is>
          <t>Rent Roll, Leases &amp; Leasing Performance</t>
        </is>
      </c>
      <c r="C7" s="102" t="inlineStr">
        <is>
          <t>Please provide the complete lease file for all 118 units: executed leases, every addendum, renewal notices, and the current concession log by unit.</t>
        </is>
      </c>
      <c r="D7" s="101" t="inlineStr">
        <is>
          <t>No unusual concessions or side agreements. Concessions underwritten at 0.75% of gross potential rent in Years 1-2, falling to 0.50%.</t>
        </is>
      </c>
      <c r="E7" s="103" t="inlineStr">
        <is>
          <t>High</t>
        </is>
      </c>
    </row>
    <row r="8" ht="39" customHeight="1">
      <c r="A8" s="100" t="n">
        <v>2</v>
      </c>
      <c r="B8" s="101" t="inlineStr">
        <is>
          <t>Rent Roll, Leases &amp; Leasing Performance</t>
        </is>
      </c>
      <c r="C8" s="102" t="inlineStr">
        <is>
          <t>The 07/01/2026 rent roll shows 4 units in Evict and 8 in Notice-Unrented. For each, what is the status of the action, what is owed, and when is possession expected?</t>
        </is>
      </c>
      <c r="D8" s="101" t="inlineStr">
        <is>
          <t>All four evictions resolve within 90 days of closing and the units are re-leased at renovated rents. The cost sits inside the 1.50% Year-1 bad debt allowance.</t>
        </is>
      </c>
      <c r="E8" s="103" t="inlineStr">
        <is>
          <t>High</t>
        </is>
      </c>
    </row>
    <row r="9" ht="39" customHeight="1">
      <c r="A9" s="100" t="n">
        <v>3</v>
      </c>
      <c r="B9" s="101" t="inlineStr">
        <is>
          <t>Rent Roll, Leases &amp; Leasing Performance</t>
        </is>
      </c>
      <c r="C9" s="102" t="inlineStr">
        <is>
          <t>Please provide 24 months of leasing traffic, tour-to-lease conversion, renewal rate, average renewal increase achieved, and the ILS source report.</t>
        </is>
      </c>
      <c r="D9" s="101" t="inlineStr">
        <is>
          <t>Renewal rate of 55-60%, producing roughly 55-60 natural turns a year. This is what makes a 5-unit-per-month renovation pace achievable without forcing residents out.</t>
        </is>
      </c>
      <c r="E9" s="103" t="inlineStr">
        <is>
          <t>High</t>
        </is>
      </c>
    </row>
    <row r="10" ht="30" customHeight="1">
      <c r="A10" s="100" t="n">
        <v>4</v>
      </c>
      <c r="B10" s="101" t="inlineStr">
        <is>
          <t>Rent Roll, Leases &amp; Leasing Performance</t>
        </is>
      </c>
      <c r="C10" s="102" t="inlineStr">
        <is>
          <t>Please confirm there are no affordable, Section 8, HAP, LIHTC or other regulatory restrictions on any unit.</t>
        </is>
      </c>
      <c r="D10" s="101" t="inlineStr">
        <is>
          <t>The property is entirely market rate with no restrictions.</t>
        </is>
      </c>
      <c r="E10" s="103" t="inlineStr">
        <is>
          <t>High</t>
        </is>
      </c>
    </row>
    <row r="11">
      <c r="A11" s="10" t="inlineStr"/>
      <c r="B11" s="8" t="inlineStr">
        <is>
          <t>2. WASHER / DRYER INVENTORY — THE LARGEST DATA CONFLICT IN THE PACKAGE</t>
        </is>
      </c>
      <c r="C11" s="99" t="n"/>
      <c r="D11" s="99" t="n"/>
      <c r="E11" s="99" t="n"/>
    </row>
    <row r="12" ht="65" customHeight="1">
      <c r="A12" s="100" t="n">
        <v>5</v>
      </c>
      <c r="B12" s="101" t="inlineStr">
        <is>
          <t>Washer / Dryer Inventory — the largest data conflict in the package</t>
        </is>
      </c>
      <c r="C12" s="102" t="inlineStr">
        <is>
          <t>Please confirm, unit by unit, which units contain a washer and dryer, which have hookups only, and which have neither. The OM states that 78 of 118 units have a full-size or stackable washer/dryer, then lists only 53 side-by-side plus 1 stackable, and its own floor-plan and building-mix schedules foot to 54.</t>
        </is>
      </c>
      <c r="D12" s="101" t="inlineStr">
        <is>
          <t>The rent roll governs per the case data hierarchy: 53 units have machines (Rhone 15, Roman 4, Cabernet 4, Brunswick 30) and 65 require both hookups and machines at $5,000 each. Every 10 units of error moves the capital budget by $50,000.</t>
        </is>
      </c>
      <c r="E12" s="103" t="inlineStr">
        <is>
          <t>High</t>
        </is>
      </c>
    </row>
    <row r="13" ht="52" customHeight="1">
      <c r="A13" s="100" t="n">
        <v>6</v>
      </c>
      <c r="B13" s="101" t="inlineStr">
        <is>
          <t>Washer / Dryer Inventory — the largest data conflict in the package</t>
        </is>
      </c>
      <c r="C13" s="102" t="inlineStr">
        <is>
          <t>For the 65 units without laundry, please provide plumbing and electrical capacity confirmation: panel amperage, riser and stack capacity, and whether a dedicated 240V circuit and a drain can be run inside the $5,000 allowance.</t>
        </is>
      </c>
      <c r="D13" s="101" t="inlineStr">
        <is>
          <t>The $5,000 per unit prescribed by the case covers hookups plus machines with no panel or riser upgrade required. A riser or panel constraint would be a material change.</t>
        </is>
      </c>
      <c r="E13" s="103" t="inlineStr">
        <is>
          <t>High</t>
        </is>
      </c>
    </row>
    <row r="14" ht="52" customHeight="1">
      <c r="A14" s="100" t="n">
        <v>7</v>
      </c>
      <c r="B14" s="101" t="inlineStr">
        <is>
          <t>Washer / Dryer Inventory — the largest data conflict in the package</t>
        </is>
      </c>
      <c r="C14" s="102" t="inlineStr">
        <is>
          <t>The OM states the Verdun 2-bed / 2-bath layout supports adding machines in the bedroom closet. Has an architect or general contractor confirmed this for all 25 Verdun units, and does it reduce the closet below any code or marketing minimum?</t>
        </is>
      </c>
      <c r="D14" s="101" t="inlineStr">
        <is>
          <t>All 25 Verdun units accommodate stacked machines without losing a required closet. CBRE's own forecast assumes the same.</t>
        </is>
      </c>
      <c r="E14" s="103" t="inlineStr">
        <is>
          <t>High</t>
        </is>
      </c>
    </row>
    <row r="15">
      <c r="A15" s="10" t="inlineStr"/>
      <c r="B15" s="8" t="inlineStr">
        <is>
          <t>3. RENOVATION SCOPE, COST &amp; RENT PREMIUM</t>
        </is>
      </c>
      <c r="C15" s="99" t="n"/>
      <c r="D15" s="99" t="n"/>
      <c r="E15" s="99" t="n"/>
    </row>
    <row r="16" ht="39" customHeight="1">
      <c r="A16" s="100" t="n">
        <v>8</v>
      </c>
      <c r="B16" s="101" t="inlineStr">
        <is>
          <t>Renovation Scope, Cost &amp; Rent Premium</t>
        </is>
      </c>
      <c r="C16" s="102" t="inlineStr">
        <is>
          <t>Please provide the scope, unit-level cost detail and before/after rents for the 2006 rehabilitation of 116 units, and identify the two units never rehabbed.</t>
        </is>
      </c>
      <c r="D16" s="101" t="inlineStr">
        <is>
          <t>The 2006 scope was cabinets, counters and flooring. Those components are now 20 years old, which is why every unit reads as classic against today's market. The two un-rehabbed units require full scope.</t>
        </is>
      </c>
      <c r="E16" s="103" t="inlineStr">
        <is>
          <t>High</t>
        </is>
      </c>
    </row>
    <row r="17" ht="65" customHeight="1">
      <c r="A17" s="100" t="n">
        <v>9</v>
      </c>
      <c r="B17" s="101" t="inlineStr">
        <is>
          <t>Renovation Scope, Cost &amp; Rent Premium</t>
        </is>
      </c>
      <c r="C17" s="102" t="inlineStr">
        <is>
          <t>Have any units been renovated to a current standard in the last three years? If so, what premium was achieved, over what lease-up period, and at what cost?</t>
        </is>
      </c>
      <c r="D17" s="101" t="inlineStr">
        <is>
          <t>No recent renovations, so there is no in-place proof of premium. This remains the largest unproven assumption. Ladder A prices it: $125/month returns 12.0% and $190/month returns 16.2%, against 14.0% at our $155 base. A leased mock-up of each floor plan before we go hard would settle it.</t>
        </is>
      </c>
      <c r="E17" s="103" t="inlineStr">
        <is>
          <t>High</t>
        </is>
      </c>
    </row>
    <row r="18" ht="65" customHeight="1">
      <c r="A18" s="100" t="n">
        <v>10</v>
      </c>
      <c r="B18" s="101" t="inlineStr">
        <is>
          <t>Renovation Scope, Cost &amp; Rent Premium</t>
        </is>
      </c>
      <c r="C18" s="102" t="inlineStr">
        <is>
          <t>Please provide two or three general contractor bids on our scope for a representative Abbey, Verdun and Brunswick unit, inclusive of the washer/dryer addition.</t>
        </is>
      </c>
      <c r="D18" s="101" t="inlineStr">
        <is>
          <t>Track A (53 units, in-place) $10,000/unit; Track B (65 units, vacant plus laundry) $13,000 interior plus the case-prescribed $5,000 addition. Blended $14,407/unit for a $155/month premium, a 12.9% return on cost. Ladder B on the Sensitivities tab prices the cost risk: $18,000/unit blended still returns 12.3%.</t>
        </is>
      </c>
      <c r="E18" s="103" t="inlineStr">
        <is>
          <t>High</t>
        </is>
      </c>
    </row>
    <row r="19" ht="78" customHeight="1">
      <c r="A19" s="100" t="n">
        <v>11</v>
      </c>
      <c r="B19" s="101" t="inlineStr">
        <is>
          <t>Renovation Scope, Cost &amp; Rent Premium</t>
        </is>
      </c>
      <c r="C19" s="102" t="inlineStr">
        <is>
          <t>What is realistic turn time from vacate to rent-ready under our scope, and can the site sustain five units a month with the current team?</t>
        </is>
      </c>
      <c r="D19" s="101" t="inlineStr">
        <is>
          <t>Track A is executed with the resident in occupancy over 2-3 days at 10 units a month from month 2, so it consumes no vacancy; the premium lands at the next renewal, modelled as a 6-month lag. Track B runs at natural turnover, 5 units a month from month 4, with 14 days of incremental downtime. All 118 complete in month 16. We fund a second maintenance technician.</t>
        </is>
      </c>
      <c r="E19" s="104" t="inlineStr">
        <is>
          <t>Medium</t>
        </is>
      </c>
    </row>
    <row r="20" ht="39" customHeight="1">
      <c r="A20" s="100" t="n">
        <v>12</v>
      </c>
      <c r="B20" s="101" t="inlineStr">
        <is>
          <t>Renovation Scope, Cost &amp; Rent Premium</t>
        </is>
      </c>
      <c r="C20" s="102" t="inlineStr">
        <is>
          <t>Are there asbestos, lead paint or mould surveys? A 1974 building rehabbed in 2006 may have regulated materials behind cabinets and in flooring mastic.</t>
        </is>
      </c>
      <c r="D20" s="101" t="inlineStr">
        <is>
          <t>No abatement beyond what the 8% contingency absorbs. A material finding would change the programme cost and pace.</t>
        </is>
      </c>
      <c r="E20" s="103" t="inlineStr">
        <is>
          <t>High</t>
        </is>
      </c>
    </row>
    <row r="21">
      <c r="A21" s="10" t="inlineStr"/>
      <c r="B21" s="8" t="inlineStr">
        <is>
          <t>4. PHYSICAL CONDITION &amp; CAPITAL REQUIREMENTS</t>
        </is>
      </c>
      <c r="C21" s="99" t="n"/>
      <c r="D21" s="99" t="n"/>
      <c r="E21" s="99" t="n"/>
    </row>
    <row r="22" ht="52" customHeight="1">
      <c r="A22" s="100" t="n">
        <v>13</v>
      </c>
      <c r="B22" s="101" t="inlineStr">
        <is>
          <t>Physical Condition &amp; Capital Requirements</t>
        </is>
      </c>
      <c r="C22" s="102" t="inlineStr">
        <is>
          <t>Please provide the most recent property condition assessment, all roof inspection reports, and the roof warranty documentation for the 2020 and 2024 replacements.</t>
        </is>
      </c>
      <c r="D22" s="101" t="inlineStr">
        <is>
          <t>3.5 of the 5 rubber roofs are original and require replacement at roughly $103,000 each. Underwritten at $360,000 phased over Years 2-4. Building 4 cost $90,000 in 2020 and half of Building 5 cost $54,507 in 2024.</t>
        </is>
      </c>
      <c r="E22" s="103" t="inlineStr">
        <is>
          <t>High</t>
        </is>
      </c>
    </row>
    <row r="23" ht="39" customHeight="1">
      <c r="A23" s="100" t="n">
        <v>14</v>
      </c>
      <c r="B23" s="101" t="inlineStr">
        <is>
          <t>Physical Condition &amp; Capital Requirements</t>
        </is>
      </c>
      <c r="C23" s="102" t="inlineStr">
        <is>
          <t>The OM identifies 37 below-grade units with patio drains and 4 sump pumps needed. Is there any history of water intrusion, insurance claims, mould remediation or resident complaints in those units?</t>
        </is>
      </c>
      <c r="D23" s="101" t="inlineStr">
        <is>
          <t>No systemic intrusion; $40,000 resolves the drains and pumps. A systemic finding would be a material adverse item and would change the recommendation.</t>
        </is>
      </c>
      <c r="E23" s="103" t="inlineStr">
        <is>
          <t>High</t>
        </is>
      </c>
    </row>
    <row r="24" ht="39" customHeight="1">
      <c r="A24" s="100" t="n">
        <v>15</v>
      </c>
      <c r="B24" s="101" t="inlineStr">
        <is>
          <t>Physical Condition &amp; Capital Requirements</t>
        </is>
      </c>
      <c r="C24" s="102" t="inlineStr">
        <is>
          <t>What is the remaining useful life of the central gas water heaters and the 8 individual electric units? The T-12 shows $29,053 of water heater replacement in just two months.</t>
        </is>
      </c>
      <c r="D24" s="101" t="inlineStr">
        <is>
          <t>Ongoing replacement runs through the $300 per unit replacement reserve. A full central plant replacement is not underwritten.</t>
        </is>
      </c>
      <c r="E24" s="103" t="inlineStr">
        <is>
          <t>High</t>
        </is>
      </c>
    </row>
    <row r="25">
      <c r="A25" s="10" t="inlineStr"/>
      <c r="B25" s="8" t="inlineStr">
        <is>
          <t>5. FINANCIAL STATEMENTS &amp; OPERATIONS</t>
        </is>
      </c>
      <c r="C25" s="99" t="n"/>
      <c r="D25" s="99" t="n"/>
      <c r="E25" s="99" t="n"/>
    </row>
    <row r="26" ht="30" customHeight="1">
      <c r="A26" s="100" t="n">
        <v>16</v>
      </c>
      <c r="B26" s="101" t="inlineStr">
        <is>
          <t>Financial Statements &amp; Operations</t>
        </is>
      </c>
      <c r="C26" s="102" t="inlineStr">
        <is>
          <t>Please provide 24 months of monthly general ledger detail, monthly bank statements, and an accounts receivable ageing by unit.</t>
        </is>
      </c>
      <c r="D26" s="101" t="inlineStr">
        <is>
          <t>The T-12 provided is complete and accrual-accurate. The AR ageing supports the 1.50% Year-1 bad debt allowance.</t>
        </is>
      </c>
      <c r="E26" s="103" t="inlineStr">
        <is>
          <t>High</t>
        </is>
      </c>
    </row>
    <row r="27" ht="39" customHeight="1">
      <c r="A27" s="100" t="n">
        <v>17</v>
      </c>
      <c r="B27" s="101" t="inlineStr">
        <is>
          <t>Financial Statements &amp; Operations</t>
        </is>
      </c>
      <c r="C27" s="102" t="inlineStr">
        <is>
          <t>Bad debt: $28,229 was written off against $19,050 collected over the T-12, and January 2026 alone was $5,670. Please explain the trend and describe the current collections process.</t>
        </is>
      </c>
      <c r="D27" s="101" t="inlineStr">
        <is>
          <t>Deterioration is driven by the four evictions in process and normalises as the resident profile improves post-renovation. Underwritten at 1.50% falling to 1.00% of gross potential rent.</t>
        </is>
      </c>
      <c r="E27" s="103" t="inlineStr">
        <is>
          <t>High</t>
        </is>
      </c>
    </row>
    <row r="28" ht="52" customHeight="1">
      <c r="A28" s="100" t="n">
        <v>18</v>
      </c>
      <c r="B28" s="101" t="inlineStr">
        <is>
          <t>Financial Statements &amp; Operations</t>
        </is>
      </c>
      <c r="C28" s="102" t="inlineStr">
        <is>
          <t>Please provide the Comcast bulk internet contract: the 7-year term, the escalator, the stabilised per-unit cost, and confirmation of the $49 resident charge and its billing mechanics.</t>
        </is>
      </c>
      <c r="D28" s="101" t="inlineStr">
        <is>
          <t>$27.95 per unit per month stabilised, escalating 3%, billed to residents at $49. The T-12 captures only $11,068 of a ramping contract against $39,577 stabilised — understating this line is the easiest way to overstate NOI on this deal.</t>
        </is>
      </c>
      <c r="E28" s="103" t="inlineStr">
        <is>
          <t>High</t>
        </is>
      </c>
    </row>
    <row r="29" ht="39" customHeight="1">
      <c r="A29" s="100" t="n">
        <v>19</v>
      </c>
      <c r="B29" s="101" t="inlineStr">
        <is>
          <t>Financial Statements &amp; Operations</t>
        </is>
      </c>
      <c r="C29" s="102" t="inlineStr">
        <is>
          <t>Please provide the valet trash contract, its start date, per-unit cost and term, and confirm what share of residents are currently being charged the $25.</t>
        </is>
      </c>
      <c r="D29" s="101" t="inlineStr">
        <is>
          <t>The property begins paying the contractor in January 2026 and the charge is recoverable from all residents on renewal. Ramped at 75% in Year 1 to 100% by Year 3.</t>
        </is>
      </c>
      <c r="E29" s="103" t="inlineStr">
        <is>
          <t>High</t>
        </is>
      </c>
    </row>
    <row r="30" ht="39" customHeight="1">
      <c r="A30" s="100" t="n">
        <v>20</v>
      </c>
      <c r="B30" s="101" t="inlineStr">
        <is>
          <t>Financial Statements &amp; Operations</t>
        </is>
      </c>
      <c r="C30" s="102" t="inlineStr">
        <is>
          <t>What portion of the T-12 'Utility Fees' line of $97,812 is water and sewer recovery versus valet trash, and what is the actual recovery ratio on water and sewer usage?</t>
        </is>
      </c>
      <c r="D30" s="101" t="inlineStr">
        <is>
          <t>85% water and sewer recovery with valet trash charged separately, consistent with CBRE's own restatement. Historical recovery has ranged from 78% to 128%.</t>
        </is>
      </c>
      <c r="E30" s="103" t="inlineStr">
        <is>
          <t>High</t>
        </is>
      </c>
    </row>
    <row r="31">
      <c r="A31" s="10" t="inlineStr"/>
      <c r="B31" s="8" t="inlineStr">
        <is>
          <t>6. REAL ESTATE TAXES — THE LARGEST EXPENSE JUDGEMENT</t>
        </is>
      </c>
      <c r="C31" s="99" t="n"/>
      <c r="D31" s="99" t="n"/>
      <c r="E31" s="99" t="n"/>
    </row>
    <row r="32" ht="52" customHeight="1">
      <c r="A32" s="100" t="n">
        <v>21</v>
      </c>
      <c r="B32" s="101" t="inlineStr">
        <is>
          <t>Real Estate Taxes — the largest expense judgement</t>
        </is>
      </c>
      <c r="C32" s="102" t="inlineStr">
        <is>
          <t>Please provide the last three Form 11A reassessment notices, the current tax bills, and any pending appeal or settlement.</t>
        </is>
      </c>
      <c r="D32" s="101" t="inlineStr">
        <is>
          <t>Marion County parcel 8000002 shows gross assessed value of $5,547,800 for 2025, a $332,868 '2% deduction' and a $129,648 net bill at 2.4861%. Assessed value has been range-bound $5.1-6.6mm since 2012 and the last change was recorded 15 March 2022. No appeal pending.</t>
        </is>
      </c>
      <c r="E32" s="103" t="inlineStr">
        <is>
          <t>High</t>
        </is>
      </c>
    </row>
    <row r="33" ht="65" customHeight="1">
      <c r="A33" s="100" t="n">
        <v>22</v>
      </c>
      <c r="B33" s="101" t="inlineStr">
        <is>
          <t>Real Estate Taxes — the largest expense judgement</t>
        </is>
      </c>
      <c r="C33" s="102" t="inlineStr">
        <is>
          <t>Has the seller obtained guidance from the Marion County Assessor on how a sale at this price will be treated, given that Indiana values apartments at the lowest of the income, market and cost approaches?</t>
        </is>
      </c>
      <c r="D33" s="101" t="inlineStr">
        <is>
          <t>The income approach governs, so assessed value tracks NOI rather than the sale price. Taxes are stepped from $140,000 in Year 1 to $210,000 in Year 5, roughly 10% a year. If assessed value instead moved to the 69% of sale price the OM's own comp study shows, the tax bill would rise about $110,000 a year and cost roughly $1.6mm of value.</t>
        </is>
      </c>
      <c r="E33" s="103" t="inlineStr">
        <is>
          <t>High</t>
        </is>
      </c>
    </row>
    <row r="34" ht="39" customHeight="1">
      <c r="A34" s="100" t="n">
        <v>23</v>
      </c>
      <c r="B34" s="101" t="inlineStr">
        <is>
          <t>Real Estate Taxes — the largest expense judgement</t>
        </is>
      </c>
      <c r="C34" s="102" t="inlineStr">
        <is>
          <t>Please confirm the SB-1 deduction schedule as it applies to this parcel, and the referendum rate applicable in taxing district 800.</t>
        </is>
      </c>
      <c r="D34" s="101" t="inlineStr">
        <is>
          <t>CBRE's SB-1 forecast is correct: a 6% assessed value deduction for taxes payable 2026 rising to 33.4% by 2031, taxed at the lower of the actual rate or the 2% cap plus referendum.</t>
        </is>
      </c>
      <c r="E34" s="103" t="inlineStr">
        <is>
          <t>High</t>
        </is>
      </c>
    </row>
    <row r="35">
      <c r="A35" s="10" t="inlineStr"/>
      <c r="B35" s="8" t="inlineStr">
        <is>
          <t>7. INSURANCE &amp; RISK</t>
        </is>
      </c>
      <c r="C35" s="99" t="n"/>
      <c r="D35" s="99" t="n"/>
      <c r="E35" s="99" t="n"/>
    </row>
    <row r="36" ht="39" customHeight="1">
      <c r="A36" s="100" t="n">
        <v>24</v>
      </c>
      <c r="B36" s="101" t="inlineStr">
        <is>
          <t>Insurance &amp; Risk</t>
        </is>
      </c>
      <c r="C36" s="102" t="inlineStr">
        <is>
          <t>Please provide five years of loss runs, the current policy with limits and deductibles, and the most recent insurance appraisal or replacement-cost estimate.</t>
        </is>
      </c>
      <c r="D36" s="101" t="inlineStr">
        <is>
          <t>No material loss history. $95,000 in Year 1 ($805 per unit) growing 5%, against $94,611 in the T-12 and CBRE's $88,326 forecast.</t>
        </is>
      </c>
      <c r="E36" s="103" t="inlineStr">
        <is>
          <t>High</t>
        </is>
      </c>
    </row>
    <row r="37" ht="39" customHeight="1">
      <c r="A37" s="100" t="n">
        <v>25</v>
      </c>
      <c r="B37" s="101" t="inlineStr">
        <is>
          <t>Insurance &amp; Risk</t>
        </is>
      </c>
      <c r="C37" s="102" t="inlineStr">
        <is>
          <t>Are there open or threatened claims, habitability complaints, fair housing matters, code violations or litigation involving the property or its management?</t>
        </is>
      </c>
      <c r="D37" s="101" t="inlineStr">
        <is>
          <t>None. No litigation reserve is underwritten.</t>
        </is>
      </c>
      <c r="E37" s="103" t="inlineStr">
        <is>
          <t>High</t>
        </is>
      </c>
    </row>
    <row r="38" ht="30" customHeight="1">
      <c r="A38" s="100" t="n">
        <v>26</v>
      </c>
      <c r="B38" s="101" t="inlineStr">
        <is>
          <t>Insurance &amp; Risk</t>
        </is>
      </c>
      <c r="C38" s="102" t="inlineStr">
        <is>
          <t>Please provide any environmental site assessment (Phase I, and Phase II if one exists), including any underground storage tank history.</t>
        </is>
      </c>
      <c r="D38" s="101" t="inlineStr">
        <is>
          <t>Clean Phase I with no recognised environmental conditions.</t>
        </is>
      </c>
      <c r="E38" s="103" t="inlineStr">
        <is>
          <t>High</t>
        </is>
      </c>
    </row>
    <row r="39">
      <c r="A39" s="10" t="inlineStr"/>
      <c r="B39" s="8" t="inlineStr">
        <is>
          <t>8. MARKET, COMPARABLES &amp; THE RENT THESIS</t>
        </is>
      </c>
      <c r="C39" s="99" t="n"/>
      <c r="D39" s="99" t="n"/>
      <c r="E39" s="99" t="n"/>
    </row>
    <row r="40" ht="39" customHeight="1">
      <c r="A40" s="100" t="n">
        <v>27</v>
      </c>
      <c r="B40" s="101" t="inlineStr">
        <is>
          <t>Market, Comparables &amp; the Rent Thesis</t>
        </is>
      </c>
      <c r="C40" s="102" t="inlineStr">
        <is>
          <t>Please provide the underlying shop reports for the nine rent comparables, including concessions offered, renovation status, and in-unit laundry availability at each.</t>
        </is>
      </c>
      <c r="D40" s="101" t="inlineStr">
        <is>
          <t>Comp rents are net of concessions and the renovated comps include in-unit laundry, which is what makes renovated rents of $1,250-$1,725 supportable.</t>
        </is>
      </c>
      <c r="E40" s="103" t="inlineStr">
        <is>
          <t>High</t>
        </is>
      </c>
    </row>
    <row r="41" ht="52" customHeight="1">
      <c r="A41" s="100" t="n">
        <v>28</v>
      </c>
      <c r="B41" s="101" t="inlineStr">
        <is>
          <t>Market, Comparables &amp; the Rent Thesis</t>
        </is>
      </c>
      <c r="C41" s="102" t="inlineStr">
        <is>
          <t>Avalon Lake is the same 1974 vintage nearby and achieves $1,178 / $1,655 / $1,834 for one, two and three bedrooms. What explains a two-bedroom gap of roughly $400 to Chateau, and how much of it is interior condition versus location or amenity?</t>
        </is>
      </c>
      <c r="D41" s="101" t="inlineStr">
        <is>
          <t>The gap is predominantly interior condition and in-unit laundry, which is exactly what our capital addresses. This single assumption carries the business plan.</t>
        </is>
      </c>
      <c r="E41" s="103" t="inlineStr">
        <is>
          <t>High</t>
        </is>
      </c>
    </row>
    <row r="42" ht="91" customHeight="1">
      <c r="A42" s="100" t="n">
        <v>29</v>
      </c>
      <c r="B42" s="101" t="inlineStr">
        <is>
          <t>Market, Comparables &amp; the Rent Thesis</t>
        </is>
      </c>
      <c r="C42" s="102" t="inlineStr">
        <is>
          <t>What new supply is under construction or permitted within three miles, and on what delivery schedule?</t>
        </is>
      </c>
      <c r="D42" s="101" t="inlineStr">
        <is>
          <t>Yardi Matrix 1Q-2026 shows 2025 construction starts more than doubled versus 2024, so the delivery wave lands in 2027-28 inside our hold, and Carmel alone takes more than half of 2026 metro deliveries immediately north of this asset. We underwrite 1.5% rent growth in Year 1 rising to 3.0% by Year 4, and 5.5% stabilised vacancy. New supply is Class A at rents well above our renovated levels, so the pressure reaches us through concessions rather than head-to-head competition.</t>
        </is>
      </c>
      <c r="E42" s="103" t="inlineStr">
        <is>
          <t>High</t>
        </is>
      </c>
    </row>
    <row r="43" ht="30" customHeight="1">
      <c r="A43" s="100" t="n">
        <v>30</v>
      </c>
      <c r="B43" s="101" t="inlineStr">
        <is>
          <t>Market, Comparables &amp; the Rent Thesis</t>
        </is>
      </c>
      <c r="C43" s="102" t="inlineStr">
        <is>
          <t>What are current market concessions in the submarket for renovated 1970s product?</t>
        </is>
      </c>
      <c r="D43" s="101" t="inlineStr">
        <is>
          <t>Two to four weeks free on new leases, inside the 0.50-0.75% concession allowance.</t>
        </is>
      </c>
      <c r="E43" s="104" t="inlineStr">
        <is>
          <t>Medium</t>
        </is>
      </c>
    </row>
    <row r="44">
      <c r="A44" s="10" t="inlineStr"/>
      <c r="B44" s="8" t="inlineStr">
        <is>
          <t>9. TITLE, LEGAL, ZONING &amp; CONTRACTS</t>
        </is>
      </c>
      <c r="C44" s="99" t="n"/>
      <c r="D44" s="99" t="n"/>
      <c r="E44" s="99" t="n"/>
    </row>
    <row r="45" ht="39" customHeight="1">
      <c r="A45" s="100" t="n">
        <v>31</v>
      </c>
      <c r="B45" s="101" t="inlineStr">
        <is>
          <t>Title, Legal, Zoning &amp; Contracts</t>
        </is>
      </c>
      <c r="C45" s="102" t="inlineStr">
        <is>
          <t>Please provide the title commitment, ALTA survey, a zoning verification letter for the D-1 designation with confirmation of legal non-conforming status if applicable, and all certificates of occupancy.</t>
        </is>
      </c>
      <c r="D45" s="101" t="inlineStr">
        <is>
          <t>Clean title with no adverse easements, and the existing density of 12.55 units per acre on 9.40 acres is either permitted or a legal non-conforming use.</t>
        </is>
      </c>
      <c r="E45" s="103" t="inlineStr">
        <is>
          <t>High</t>
        </is>
      </c>
    </row>
    <row r="46" ht="39" customHeight="1">
      <c r="A46" s="100" t="n">
        <v>32</v>
      </c>
      <c r="B46" s="101" t="inlineStr">
        <is>
          <t>Title, Legal, Zoning &amp; Contracts</t>
        </is>
      </c>
      <c r="C46" s="102" t="inlineStr">
        <is>
          <t>Please provide all service contracts with terms, notice periods and termination rights: landscaping, pest control, valet trash, trash hauling, laundry, security and fire, pool, and internet.</t>
        </is>
      </c>
      <c r="D46" s="101" t="inlineStr">
        <is>
          <t>All are terminable at or shortly after closing except the 7-year bulk internet contract, which is assumed and underwritten.</t>
        </is>
      </c>
      <c r="E46" s="104" t="inlineStr">
        <is>
          <t>Medium</t>
        </is>
      </c>
    </row>
    <row r="47">
      <c r="A47" s="10" t="inlineStr"/>
      <c r="B47" s="8" t="inlineStr">
        <is>
          <t>10. ITEMS WE WOULD PRICE RATHER THAN ASSUME</t>
        </is>
      </c>
      <c r="C47" s="99" t="n"/>
      <c r="D47" s="99" t="n"/>
      <c r="E47" s="99" t="n"/>
    </row>
    <row r="48" ht="65" customHeight="1">
      <c r="A48" s="100" t="n">
        <v>33</v>
      </c>
      <c r="B48" s="101" t="inlineStr">
        <is>
          <t>Items we would price rather than assume</t>
        </is>
      </c>
      <c r="C48" s="102" t="inlineStr">
        <is>
          <t>What will the seller accept, and is guidance still the 6.9% Year-1 cap rate on CBRE's $980,838 Acquisition Forecast — roughly $14.2mm?</t>
        </is>
      </c>
      <c r="D48" s="101" t="inlineStr">
        <is>
          <t>The asset traded on 12 June 2026 for $13,625,000 ($115,466/unit) per the Marion County deed record. Our maximum bid is $12,000,000 ($101,695/unit), 12% below, where the plan returns 14.0% and 1.81x. At the trade price the same plan returns 7.9% and 1.42x. We would have been outbid.</t>
        </is>
      </c>
      <c r="E48" s="103" t="inlineStr">
        <is>
          <t>High</t>
        </is>
      </c>
    </row>
    <row r="49" ht="39" customHeight="1">
      <c r="A49" s="100" t="n">
        <v>34</v>
      </c>
      <c r="B49" s="101" t="inlineStr">
        <is>
          <t>Items we would price rather than assume</t>
        </is>
      </c>
      <c r="C49" s="102" t="inlineStr">
        <is>
          <t>Would the seller entertain a structure that shares the reassessment risk — a tax escrow, or a purchase price adjustment tied to the first post-closing Form 11A?</t>
        </is>
      </c>
      <c r="D49" s="101" t="inlineStr">
        <is>
          <t>No structure available, so the buyer takes reassessment risk. This is why taxes are underwritten at roughly 10% annual growth.</t>
        </is>
      </c>
      <c r="E49" s="104" t="inlineStr">
        <is>
          <t>Medium</t>
        </is>
      </c>
    </row>
    <row r="50" ht="30" customHeight="1">
      <c r="A50" s="100" t="n">
        <v>35</v>
      </c>
      <c r="B50" s="101" t="inlineStr">
        <is>
          <t>Items we would price rather than assume</t>
        </is>
      </c>
      <c r="C50" s="102" t="inlineStr">
        <is>
          <t>Would the seller fund or credit the identified immediate needs — the 4 sump pumps, the patio drains and the asphalt work?</t>
        </is>
      </c>
      <c r="D50" s="101" t="inlineStr">
        <is>
          <t>No credit given; the full $190,000 sits in our Year-1 capital budget.</t>
        </is>
      </c>
      <c r="E50" s="104" t="inlineStr">
        <is>
          <t>Medium</t>
        </is>
      </c>
    </row>
    <row r="52">
      <c r="A52" s="40" t="inlineStr">
        <is>
          <t>35 questions. 'High' priority items are those where a different answer changes the underwriting or the recommendation.</t>
        </is>
      </c>
    </row>
  </sheetData>
  <mergeCells count="10">
    <mergeCell ref="B31:E31"/>
    <mergeCell ref="B35:E35"/>
    <mergeCell ref="B6:E6"/>
    <mergeCell ref="B21:E21"/>
    <mergeCell ref="B44:E44"/>
    <mergeCell ref="B15:E15"/>
    <mergeCell ref="B39:E39"/>
    <mergeCell ref="B11:E11"/>
    <mergeCell ref="B25:E25"/>
    <mergeCell ref="B47:E47"/>
  </mergeCells>
  <printOptions horizontalCentered="0"/>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2026-07-30T19:48:07Z</dcterms:created>
  <dcterms:modified xmlns:dcterms="http://purl.org/dc/terms/" xmlns:xsi="http://www.w3.org/2001/XMLSchema-instance" xsi:type="dcterms:W3CDTF">2026-07-30T19:48:07Z</dcterms:modified>
</cp:coreProperties>
</file>