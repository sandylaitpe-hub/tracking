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Rent Roll" sheetId="3" state="visible" r:id="rId5"/>
    <sheet name="Unit Mix" sheetId="4" state="visible" r:id="rId6"/>
    <sheet name="T-12 Recast" sheetId="5" state="visible" r:id="rId7"/>
    <sheet name="Other Income" sheetId="6" state="visible" r:id="rId8"/>
    <sheet name="Capex Budget" sheetId="7" state="visible" r:id="rId9"/>
    <sheet name="Reno Schedule" sheetId="8" state="visible" r:id="rId10"/>
    <sheet name="Annual Model" sheetId="9" state="visible" r:id="rId11"/>
    <sheet name="Returns" sheetId="10" state="visible" r:id="rId12"/>
    <sheet name="Sensitivities" sheetId="11" state="visible" r:id="rId13"/>
    <sheet name="DD Questions" sheetId="12" state="visible" r:id="rId14"/>
  </sheets>
  <definedNames>
    <definedName function="false" hidden="false" localSheetId="11" name="_xlnm.Print_Titles" vbProcedure="false">'DD Questions'!$5:$5</definedName>
    <definedName function="false" hidden="false" localSheetId="7" name="_xlnm.Print_Titles" vbProcedure="false">'Reno Schedule'!$5:$5</definedName>
    <definedName function="false" hidden="false" localSheetId="2" name="_xlnm.Print_Titles" vbProcedure="false">'Rent Roll'!$5:$5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<sst xmlns="http://schemas.openxmlformats.org/spreadsheetml/2006/main" count="1736" uniqueCount="896">
  <si>
    <t xml:space="preserve">CHATEAU IN THE WOODS  |  4020 Monaco Drive, Indianapolis, IN 46220  |  118 Units</t>
  </si>
  <si>
    <t xml:space="preserve">Five-Year Cash Flow Model — Read Me, Deliverable Index &amp; Material Assumptions</t>
  </si>
  <si>
    <t xml:space="preserve">Blue = hardcoded input / lever   ·   Black = formula   ·   Green = link to another sheet   ·   Yellow fill = key assumption</t>
  </si>
  <si>
    <t xml:space="preserve">HOW THIS MODEL WORKS</t>
  </si>
  <si>
    <t xml:space="preserve">Single source of drivers</t>
  </si>
  <si>
    <t xml:space="preserve">Every economic assumption lives on the 'Assumptions' tab. All projection cells are formulas; changing a driver recalculates the model end-to-end, including the returns and both sensitivity grids.</t>
  </si>
  <si>
    <t xml:space="preserve">Model periodicity</t>
  </si>
  <si>
    <t xml:space="preserve">Annual (Year 1 – Year 5) operating model, driven by a 60-month renovation / downtime schedule on the 'Reno Schedule' tab. Month 1 = August 2026 (rent roll is dated 07/01/2026).</t>
  </si>
  <si>
    <t xml:space="preserve">Revenue engine</t>
  </si>
  <si>
    <t xml:space="preserve">Gross potential rent is built unit-by-unit from the 07/01/2026 rent roll: classic units carry in-place market rent, renovated units carry market rent plus the renovation premium, and units convert as the renovation schedule completes them.</t>
  </si>
  <si>
    <t xml:space="preserve">Data hierarchy</t>
  </si>
  <si>
    <t xml:space="preserve">Per the case instructions, the Excel rent roll and T-12 govern wherever they conflict with the Offering Memorandum. The OM is used only for facts the Excel files do not contain (unit W/D inventory, rent comps, tax analysis, physical condition, other-income policy detail).</t>
  </si>
  <si>
    <t xml:space="preserve">Capital funding convention</t>
  </si>
  <si>
    <t xml:space="preserve">All renovation and property capital is funded at closing through Sources &amp; Uses (65% loan / 35% equity). Annual cash flow therefore deducts interest and replacement reserves only, and does not double-count capex. This is conservative — it puts the full equity out on day one with no timing benefit.</t>
  </si>
  <si>
    <t xml:space="preserve">TAB INDEX</t>
  </si>
  <si>
    <t xml:space="preserve">Assumptions</t>
  </si>
  <si>
    <t xml:space="preserve">All inputs and levers. Purchase price, growth, renovation scope, expenses, debt, exit.</t>
  </si>
  <si>
    <t xml:space="preserve">Rent Roll</t>
  </si>
  <si>
    <t xml:space="preserve">All 118 units from the 07/01/2026 rent roll, with case status rules and per-unit renovation scope applied.</t>
  </si>
  <si>
    <t xml:space="preserve">Unit Mix</t>
  </si>
  <si>
    <t xml:space="preserve">Floor-plan roll-up: in-place market rents, W/D inventory, renovation cost and premium, renovated rents.</t>
  </si>
  <si>
    <t xml:space="preserve">T-12 Recast</t>
  </si>
  <si>
    <t xml:space="preserve">T-12 (Feb-25 to Jan-26) actuals mapped to underwriting line items, with the Year-1 underwritten figure and variance.</t>
  </si>
  <si>
    <t xml:space="preserve">Other Income</t>
  </si>
  <si>
    <t xml:space="preserve">Line-by-line other-income build off T-12 actuals plus the identified ancillary upside, with implementation ramps.</t>
  </si>
  <si>
    <t xml:space="preserve">Capex Budget</t>
  </si>
  <si>
    <t xml:space="preserve">Non-unit capital: deferred maintenance, building systems and amenity scope, phased by year.</t>
  </si>
  <si>
    <t xml:space="preserve">Reno Schedule</t>
  </si>
  <si>
    <t xml:space="preserve">60-month renovation schedule: units completed, capex spend, and renovation downtime vacancy.</t>
  </si>
  <si>
    <t xml:space="preserve">Annual Model</t>
  </si>
  <si>
    <t xml:space="preserve">The five-year cash flow: revenue build, operating expenses, NOI, capital and cash flow to equity.</t>
  </si>
  <si>
    <t xml:space="preserve">Returns</t>
  </si>
  <si>
    <t xml:space="preserve">Sources &amp; Uses, debt, exit valuation, unlevered and levered IRR / equity multiple / cash-on-cash.</t>
  </si>
  <si>
    <t xml:space="preserve">Sensitivities</t>
  </si>
  <si>
    <t xml:space="preserve">Live grids: purchase price × exit cap (IRR and multiple) and renovation premium × exit cap.</t>
  </si>
  <si>
    <t xml:space="preserve">DD Questions</t>
  </si>
  <si>
    <t xml:space="preserve">Diligence request list, with the placeholder answer assumed in this model for each open item.</t>
  </si>
  <si>
    <t xml:space="preserve">MATERIAL ASSUMPTIONS — NOT PROVIDED IN THE CASE MATERIALS</t>
  </si>
  <si>
    <t xml:space="preserve">Item</t>
  </si>
  <si>
    <t xml:space="preserve">Assumption and basis</t>
  </si>
  <si>
    <t xml:space="preserve">Purchase price / basis</t>
  </si>
  <si>
    <t xml:space="preserve">$14,200,000 ($120,339/unit, $105.68/SF). The case does not state a price. Derived from the OM cover: a 6.9% Year-1 cap rate on CBRE's $980,838 Acquisition Forecast NOI implies $14.2mm, and 7.3% on the $1,034,543 Upgrade Forecast NOI implies $14.17mm. Treated as a lever — see the price sensitivity.</t>
  </si>
  <si>
    <t xml:space="preserve">Renovation scope and premium</t>
  </si>
  <si>
    <t xml:space="preserve">Comprehensive interior renovation of all 118 units: $13,000/unit for cabinets, counters, LVP flooring, appliances, lighting, plumbing fixtures, hardware and paint, at a $125/month premium. Plus $5,000/unit (per case instruction) to add hookups and a washer/dryer in the 65 units without one, at an incremental $75/month. Blended $15,754/unit at a $166/month premium = 12.7% return on cost.</t>
  </si>
  <si>
    <t xml:space="preserve">Renovated rent support</t>
  </si>
  <si>
    <t xml:space="preserve">Renovated rents of $1,250 (1x1) to $1,725 (3x2) sit inside the OM rent comp set. Avalon Lake (1974, same vintage, Graham Rd &amp; Binford) achieves $1,178 / $1,655 / $1,834 for 1/2/3-bedrooms; submarket averages are $1,044 / $1,305 / $1,597. CBRE's own light-touch Upgrade Forecast is $1,094-$1,631 with a $50 premium and $1,375 on the Verdun with a W/D added.</t>
  </si>
  <si>
    <t xml:space="preserve">Renovation pace and downtime</t>
  </si>
  <si>
    <t xml:space="preserve">5 units per month beginning month 3, completing all 118 units in month 26. Consistent with natural turnover (T-12 physical occupancy 93.2% implies roughly 55-60 turns a year). 14 days of incremental downtime per renovated unit over and above a normal turn.</t>
  </si>
  <si>
    <t xml:space="preserve">Market rent growth</t>
  </si>
  <si>
    <t xml:space="preserve">3.0% per year. Above CBRE's 1.5%+1.5% two-step rollover assumption for 2026 and consistent with long-run Indianapolis Class B/C performance. Applied on a mid-year convention.</t>
  </si>
  <si>
    <t xml:space="preserve">Real estate taxes</t>
  </si>
  <si>
    <t xml:space="preserve">$140,000 in Year 1 (CBRE 2025-pay-2026 estimate with the SB-1 deduction is $135,374), stepping to $170,000 in Year 2 and $210,000 by Year 5. Indiana reassesses on sale; the OM's own comp study shows assessed value averaging 69% of sale price and rising 6.2% a year after a trade. THIS IS THE SINGLE LARGEST UNDERWRITING JUDGEMENT ON THE EXPENSE SIDE — see the DD Questions tab.</t>
  </si>
  <si>
    <t xml:space="preserve">Insurance</t>
  </si>
  <si>
    <t xml:space="preserve">$95,000 in Year 1 ($805/unit) growing 5%, versus $94,611 T-12 actual and CBRE's $88,326 forecast. No current loss run or bindable quote was provided.</t>
  </si>
  <si>
    <t xml:space="preserve">Bad debt</t>
  </si>
  <si>
    <t xml:space="preserve">1.50% of GPR in Year 1 falling to 1.00% by Year 4. The T-12 shows $28,229 of gross bad debt against $19,050 of collections (net $9,179, 0.5%), but write-offs are accelerating (Jan-26 alone was $5,670) and the rent roll carries 4 units in eviction and 8 on notice.</t>
  </si>
  <si>
    <t xml:space="preserve">Exit</t>
  </si>
  <si>
    <t xml:space="preserve">6.75% cap rate on forward (Year 6) NOI, 1.5% cost of sale, at the end of Year 5. Fifteen basis points inside the 6.90% going-in cap, reflecting a fully renovated asset with in-unit laundry throughout versus the classic condition being acquired.</t>
  </si>
  <si>
    <t xml:space="preserve">Debt</t>
  </si>
  <si>
    <t xml:space="preserve">65% loan-to-cost on price plus all capital, 5.85% fixed, interest-only, 5-year term, 1% origination. Sized to a 10.4% Year-1 debt yield and a 1.38x Year-1 DSCR. No financing terms were provided.</t>
  </si>
  <si>
    <t xml:space="preserve">Excluded upside</t>
  </si>
  <si>
    <t xml:space="preserve">Not underwritten: converting the Building 4042 maintenance storage into two additional units, and converting 9 carports to garages. Both are real but return roughly 5-10% on cost, below the interior programme, and neither is needed for the recommendation.</t>
  </si>
  <si>
    <t xml:space="preserve">CONFLICTS BETWEEN SOURCES — AND HOW THEY WERE RESOLVED</t>
  </si>
  <si>
    <t xml:space="preserve">In-unit washer/dryer count</t>
  </si>
  <si>
    <t xml:space="preserve">The OM says '78 out of 118 units have a full size or stackable washer/dryer' but then lists only 53 side-by-side plus 1 stackable = 54, and its own floor-plan and building-mix schedules foot to 54 units with 'WD' in the unit code. The rent roll shows 53 units in a 'w/ WD' unit type (Rhone 15, Roman 4, Cabernet 4, Brunswick 30). Per the data hierarchy the rent roll governs: 53 units have laundry, 65 do not and carry the $5,000 addition. This is a confirmatory diligence item.</t>
  </si>
  <si>
    <t xml:space="preserve">Bordeaux washer/dryer unit</t>
  </si>
  <si>
    <t xml:space="preserve">The OM identifies one Bordeaux (4017-D) with a stackable washer/dryer at a $1,307 market rent. The rent roll shows all 25 Bordeaux units at a $1,260 market rent in a single 'Bordeaux' unit type. The rent roll governs, so 4017-D is underwritten as needing the $5,000 addition — conservative by $5,000.</t>
  </si>
  <si>
    <t xml:space="preserve">Market rents</t>
  </si>
  <si>
    <t xml:space="preserve">OM floor-plan mix (dated 09/08/2025) shows $1,044 / $1,109 / $1,174 / $1,343 / $1,212 / $1,257 / $1,581. The 07/01/2026 rent roll shows $1,050 / $1,125 / $1,165 / $1,350 / $1,250 / $1,260 / $1,600. The rent roll governs; it is also nine months newer.</t>
  </si>
  <si>
    <t xml:space="preserve">Occupancy</t>
  </si>
  <si>
    <t xml:space="preserve">The OM shows 105 occupied / 13 vacant as of 09/08/2025. The 07/01/2026 rent roll shows 114 occupied / 4 vacant (96.6%) after applying the case rules that 'Notice' and 'Evict' count as occupied. The rent roll governs.</t>
  </si>
  <si>
    <t xml:space="preserve">Trailing twelve months</t>
  </si>
  <si>
    <t xml:space="preserve">The OM's T-12 is August 2024 - July 2025 ($1,774,433 revenue / $799,669 NOI). The Excel T-12 provided is February 2025 - January 2026 ($1,790,101 revenue / $772,374 NOI on the property's own basis). The Excel T-12 governs and is recast on the 'T-12 Recast' tab.</t>
  </si>
  <si>
    <t xml:space="preserve">Underwriting Assumptions &amp; Drivers</t>
  </si>
  <si>
    <t xml:space="preserve">TRANSACTION</t>
  </si>
  <si>
    <t xml:space="preserve">Purchase Price</t>
  </si>
  <si>
    <t xml:space="preserve">No price given in the case. Implied by the OM cover: 6.9% Yr-1 cap on CBRE's $980,838 Acquisition Forecast NOI. Primary lever — see Sensitivities.</t>
  </si>
  <si>
    <t xml:space="preserve">  Price per Unit</t>
  </si>
  <si>
    <t xml:space="preserve">  Price per Net Rentable SF</t>
  </si>
  <si>
    <t xml:space="preserve">Acquisition Costs (% of price)</t>
  </si>
  <si>
    <t xml:space="preserve">Title, survey, legal, third-party reports, transfer costs.</t>
  </si>
  <si>
    <t xml:space="preserve">Analysis Start (Month 1)</t>
  </si>
  <si>
    <t xml:space="preserve">2026-08-01</t>
  </si>
  <si>
    <t xml:space="preserve">Rent roll is dated 07/01/2026; assumes an August 2026 close.</t>
  </si>
  <si>
    <t xml:space="preserve">Hold Period (years)</t>
  </si>
  <si>
    <t xml:space="preserve">Exit Cap Rate (on Year-6 NOI)</t>
  </si>
  <si>
    <t xml:space="preserve">15 bps inside the going-in cap: a fully renovated asset with in-unit laundry throughout trades tighter than the classic product being acquired.</t>
  </si>
  <si>
    <t xml:space="preserve">Cost of Sale (% of gross value)</t>
  </si>
  <si>
    <t xml:space="preserve">  Implied Going-In Cap (our Year-1 NOI)</t>
  </si>
  <si>
    <t xml:space="preserve">On our underwriting, not the broker's forecast. CBRE markets a 6.9% Year-1 cap rate on its own $980,838 Acquisition Forecast NOI, which is what implies the $14.2mm price above.</t>
  </si>
  <si>
    <t xml:space="preserve">PROPERTY — FROM RENT ROLL 07/01/2026</t>
  </si>
  <si>
    <t xml:space="preserve">Total Units</t>
  </si>
  <si>
    <t xml:space="preserve">Rent roll total row.</t>
  </si>
  <si>
    <t xml:space="preserve">Net Rentable Square Feet</t>
  </si>
  <si>
    <t xml:space="preserve">Rent roll total row; ties to the OM.</t>
  </si>
  <si>
    <t xml:space="preserve">  Average Unit Size (SF)</t>
  </si>
  <si>
    <t xml:space="preserve">Year Built</t>
  </si>
  <si>
    <t xml:space="preserve">OM Property Summary.</t>
  </si>
  <si>
    <t xml:space="preserve">Occupied Units at Close</t>
  </si>
  <si>
    <t xml:space="preserve">102 Current + 8 Notice + 4 Evict. Case rules: 'Notice' and 'Evict' are treated as Occupied.</t>
  </si>
  <si>
    <t xml:space="preserve">Vacant Units at Close</t>
  </si>
  <si>
    <t xml:space="preserve">All four are 'Vacant-Unrented'.</t>
  </si>
  <si>
    <t xml:space="preserve">  In-Place Physical Occupancy</t>
  </si>
  <si>
    <t xml:space="preserve">In-Place Market Rent ($/month)</t>
  </si>
  <si>
    <t xml:space="preserve">In-Place Actual Rent ($/month)</t>
  </si>
  <si>
    <t xml:space="preserve">Rent roll total row. Occupied units only.</t>
  </si>
  <si>
    <t xml:space="preserve">  In-Place Loss-to-Lease (occupied units)</t>
  </si>
  <si>
    <t xml:space="preserve">Units WITH In-Unit Washer/Dryer</t>
  </si>
  <si>
    <t xml:space="preserve">Rent roll unit types containing 'w/ WD': Rhone 15, Roman 4, Cabernet 4, Brunswick 30.</t>
  </si>
  <si>
    <t xml:space="preserve">Units WITHOUT In-Unit Washer/Dryer</t>
  </si>
  <si>
    <t xml:space="preserve">Abbey 15, Verdun 25, Bordeaux 25. Each carries the $5,000 addition per the case instructions.</t>
  </si>
  <si>
    <t xml:space="preserve">RENOVATION PROGRAMME</t>
  </si>
  <si>
    <t xml:space="preserve">Renovation Start (month of hold)</t>
  </si>
  <si>
    <t xml:space="preserve">Months 1-2 for permitting, GC mobilisation, mock-up units and leasing the 4 in-place vacants.</t>
  </si>
  <si>
    <t xml:space="preserve">Units Renovated per Month</t>
  </si>
  <si>
    <t xml:space="preserve">60/year against roughly 55-60 natural turns a year at 93% occupancy — renovations happen on the turn, not by forcing residents out. Completes all 118 units in month 26.</t>
  </si>
  <si>
    <t xml:space="preserve">Interior Renovation Cost / Unit</t>
  </si>
  <si>
    <t xml:space="preserve">Cabinets and counters, LVP flooring, black appliances, lighting and plumbing fixtures, hardware, full paint. Indianapolis classic-to-renovated scope on units last rehabbed in 2006.</t>
  </si>
  <si>
    <t xml:space="preserve">W/D Addition Cost / Unit (65 units)</t>
  </si>
  <si>
    <t xml:space="preserve">PRESCRIBED BY THE CASE: hookups plus the washer and dryer for every unit that does not have one.</t>
  </si>
  <si>
    <t xml:space="preserve">  Blended Renovation Cost / Unit</t>
  </si>
  <si>
    <t xml:space="preserve">  Total Renovation Capital</t>
  </si>
  <si>
    <t xml:space="preserve">Interior Renovation Premium ($/month)</t>
  </si>
  <si>
    <t xml:space="preserve">All 118 units. Against CBRE's $50 light-touch premium; our scope is materially deeper.</t>
  </si>
  <si>
    <t xml:space="preserve">W/D Addition Premium ($/month)</t>
  </si>
  <si>
    <t xml:space="preserve">Incremental, on the 65 units gaining laundry. CBRE forecasts $163 total on the Verdun for a light touch plus a W/D, versus our $200.</t>
  </si>
  <si>
    <t xml:space="preserve">  Blended Premium / Unit ($/month)</t>
  </si>
  <si>
    <t xml:space="preserve">  Return on Renovation Cost</t>
  </si>
  <si>
    <t xml:space="preserve">Incremental Downtime per Unit (days)</t>
  </si>
  <si>
    <t xml:space="preserve">Over and above a normal turn. Renovation is executed inside the vacancy window.</t>
  </si>
  <si>
    <t xml:space="preserve">Capex Contingency (% of all capital)</t>
  </si>
  <si>
    <t xml:space="preserve">REVENUE DRIVERS</t>
  </si>
  <si>
    <t xml:space="preserve">Year 1</t>
  </si>
  <si>
    <t xml:space="preserve">Year 2</t>
  </si>
  <si>
    <t xml:space="preserve">Year 3</t>
  </si>
  <si>
    <t xml:space="preserve">Year 4</t>
  </si>
  <si>
    <t xml:space="preserve">Year 5</t>
  </si>
  <si>
    <t xml:space="preserve">Market Rent Growth</t>
  </si>
  <si>
    <t xml:space="preserve">Long-run Indianapolis Class B/C. CBRE's rollover analysis uses 1.5% in 3/26 plus 1.5% in 6/26.</t>
  </si>
  <si>
    <t xml:space="preserve">Loss to Lease (% of GPR)</t>
  </si>
  <si>
    <t xml:space="preserve">2.2% in place today. Burns down as the renovation programme resets leases to market.</t>
  </si>
  <si>
    <t xml:space="preserve">Operating Physical Vacancy</t>
  </si>
  <si>
    <t xml:space="preserve">T-12 actual physical vacancy is 6.8%; CBRE forecasts 5.0% stabilised. Renovation downtime is added separately from the Reno Schedule.</t>
  </si>
  <si>
    <t xml:space="preserve">Concessions (% of GPR)</t>
  </si>
  <si>
    <t xml:space="preserve">T-12 actual 0.5% and rising in recent months. Elevated while renovated units are first leased.</t>
  </si>
  <si>
    <t xml:space="preserve">Bad Debt (% of GPR)</t>
  </si>
  <si>
    <t xml:space="preserve">T-12 net is 0.5% ($28,229 written off against $19,050 collected) but gross write-offs are accelerating and 4 units are in eviction with 8 on notice.</t>
  </si>
  <si>
    <t xml:space="preserve">Other Income Growth</t>
  </si>
  <si>
    <t xml:space="preserve">OPERATING EXPENSES — YEAR 1 AND ANNUAL GROWTH</t>
  </si>
  <si>
    <t xml:space="preserve">Year 1 $</t>
  </si>
  <si>
    <t xml:space="preserve">Growth</t>
  </si>
  <si>
    <t xml:space="preserve">Basis</t>
  </si>
  <si>
    <t xml:space="preserve">Payroll</t>
  </si>
  <si>
    <t xml:space="preserve">T-12 $227,969; CBRE forecast $229,021 for 3.5 FTE. We add a second maintenance technician to execute 5 renovations a month.</t>
  </si>
  <si>
    <t xml:space="preserve">Property Management Fee (% of EGR)</t>
  </si>
  <si>
    <t xml:space="preserve">T-12 effective 3.5%; CBRE forecast 4.0%. Third-party market rate at this size.</t>
  </si>
  <si>
    <t xml:space="preserve">Marketing &amp; Advertising</t>
  </si>
  <si>
    <t xml:space="preserve">T-12 $26,399. Increased for renovated-unit lease-up.</t>
  </si>
  <si>
    <t xml:space="preserve">General &amp; Administrative</t>
  </si>
  <si>
    <t xml:space="preserve">T-12 $62,887 including $17,528 of legal and $14,730 of tax/audit concentrated in Dec-Jan (likely sale-related). CBRE forecast $42,209. Underwritten between the two.</t>
  </si>
  <si>
    <t xml:space="preserve">Bulk Internet (net expense)</t>
  </si>
  <si>
    <t xml:space="preserve">$27.95/unit/month fully stabilised under the 7-year Comcast contract signed May 2025. T-12 shows only $11,068 because the contract is still ramping. Residents are billed $49 — see Other Income.</t>
  </si>
  <si>
    <t xml:space="preserve">Electricity (common + vacant)</t>
  </si>
  <si>
    <t xml:space="preserve">T-12 $30,320.</t>
  </si>
  <si>
    <t xml:space="preserve">Gas (central hot water + common)</t>
  </si>
  <si>
    <t xml:space="preserve">T-12 $15,330.</t>
  </si>
  <si>
    <t xml:space="preserve">Water &amp; Sewer</t>
  </si>
  <si>
    <t xml:space="preserve">T-12 $86,421. 85% is recovered from residents — see Other Income.</t>
  </si>
  <si>
    <t xml:space="preserve">Repairs &amp; Maintenance (incl. turns)</t>
  </si>
  <si>
    <t xml:space="preserve">T-12 $250,935 ($2,127/unit) including $42,921 of turnover cost; CBRE forecast $247,656. No post-renovation savings credited.</t>
  </si>
  <si>
    <t xml:space="preserve">T-12 $94,611 ($802/unit); CBRE forecast $88,326. No loss run or bindable quote provided.</t>
  </si>
  <si>
    <t xml:space="preserve">Real Estate Taxes</t>
  </si>
  <si>
    <t xml:space="preserve">CBRE 2025-pay-2026 estimate with the SB-1 deduction is $135,374 (T-12 $149,677). Indiana reassesses on sale; the OM's own comp study shows AV averaging 69% of sale price and growing 6.2% a year post-trade. Largest single expense judgement.</t>
  </si>
  <si>
    <t xml:space="preserve">Replacement Reserves ($/unit/year)</t>
  </si>
  <si>
    <t xml:space="preserve">Lender-standard for 1974 vintage. Below NOI. Grows with Other Income growth.</t>
  </si>
  <si>
    <t xml:space="preserve">DEBT</t>
  </si>
  <si>
    <t xml:space="preserve">Maximum Loan to Cost</t>
  </si>
  <si>
    <t xml:space="preserve">Value-add / bridge structure with a capital facility.</t>
  </si>
  <si>
    <t xml:space="preserve">Minimum Debt Yield (Year-1 NOI / loan)</t>
  </si>
  <si>
    <t xml:space="preserve">Lender sizing test. Binding constraint at the base-case price — see Returns.</t>
  </si>
  <si>
    <t xml:space="preserve">Minimum DSCR (Year-1)</t>
  </si>
  <si>
    <t xml:space="preserve">Lender sizing test on an interest-only structure.</t>
  </si>
  <si>
    <t xml:space="preserve">Interest Rate (fixed, interest-only)</t>
  </si>
  <si>
    <t xml:space="preserve">No terms provided. Approximates mid-2026 agency pricing on a 5-year interest-only structure.</t>
  </si>
  <si>
    <t xml:space="preserve">Origination Fee (% of loan)</t>
  </si>
  <si>
    <t xml:space="preserve">Other Financing Costs</t>
  </si>
  <si>
    <t xml:space="preserve">Lender legal, appraisal, engineering, cap-ex escrow set-up, rate-lock.</t>
  </si>
  <si>
    <t xml:space="preserve">Rent Roll as of 07/01/2026 — with case status rules and per-unit renovation scope</t>
  </si>
  <si>
    <t xml:space="preserve">Unit</t>
  </si>
  <si>
    <t xml:space="preserve">BD/BA</t>
  </si>
  <si>
    <t xml:space="preserve">Unit Type</t>
  </si>
  <si>
    <t xml:space="preserve">SF</t>
  </si>
  <si>
    <t xml:space="preserve">RR Status</t>
  </si>
  <si>
    <t xml:space="preserve">UW Status</t>
  </si>
  <si>
    <t xml:space="preserve">Market Rent</t>
  </si>
  <si>
    <t xml:space="preserve">In-Place Rent</t>
  </si>
  <si>
    <t xml:space="preserve">Loss to Lease</t>
  </si>
  <si>
    <t xml:space="preserve">Lease From</t>
  </si>
  <si>
    <t xml:space="preserve">Lease To</t>
  </si>
  <si>
    <t xml:space="preserve">In-Unit W/D</t>
  </si>
  <si>
    <t xml:space="preserve">Interior Reno $</t>
  </si>
  <si>
    <t xml:space="preserve">W/D Add $</t>
  </si>
  <si>
    <t xml:space="preserve">Total Reno $</t>
  </si>
  <si>
    <t xml:space="preserve">Renovated Mkt Rent</t>
  </si>
  <si>
    <t xml:space="preserve">4001-A</t>
  </si>
  <si>
    <t xml:space="preserve">1/1.00</t>
  </si>
  <si>
    <t xml:space="preserve">Rhone w/ WD</t>
  </si>
  <si>
    <t xml:space="preserve">Current</t>
  </si>
  <si>
    <t xml:space="preserve">Occupied</t>
  </si>
  <si>
    <t xml:space="preserve">Yes</t>
  </si>
  <si>
    <t xml:space="preserve">4001-C</t>
  </si>
  <si>
    <t xml:space="preserve">4001-E</t>
  </si>
  <si>
    <t xml:space="preserve">4002-B</t>
  </si>
  <si>
    <t xml:space="preserve">Abbey</t>
  </si>
  <si>
    <t xml:space="preserve">No</t>
  </si>
  <si>
    <t xml:space="preserve">4002-D</t>
  </si>
  <si>
    <t xml:space="preserve">4002-F</t>
  </si>
  <si>
    <t xml:space="preserve">4005-B</t>
  </si>
  <si>
    <t xml:space="preserve">4005-D</t>
  </si>
  <si>
    <t xml:space="preserve">4005-F</t>
  </si>
  <si>
    <t xml:space="preserve">4006-A</t>
  </si>
  <si>
    <t xml:space="preserve">4006-C</t>
  </si>
  <si>
    <t xml:space="preserve">4006-E</t>
  </si>
  <si>
    <t xml:space="preserve">4025-C</t>
  </si>
  <si>
    <t xml:space="preserve">4025-E</t>
  </si>
  <si>
    <t xml:space="preserve">4029-B</t>
  </si>
  <si>
    <t xml:space="preserve">4029-D</t>
  </si>
  <si>
    <t xml:space="preserve">4029-F</t>
  </si>
  <si>
    <t xml:space="preserve">4033-A</t>
  </si>
  <si>
    <t xml:space="preserve">4033-C</t>
  </si>
  <si>
    <t xml:space="preserve">4033-E</t>
  </si>
  <si>
    <t xml:space="preserve">4034-B</t>
  </si>
  <si>
    <t xml:space="preserve">4034-D</t>
  </si>
  <si>
    <t xml:space="preserve">4034-F</t>
  </si>
  <si>
    <t xml:space="preserve">4037-D</t>
  </si>
  <si>
    <t xml:space="preserve">4037-F</t>
  </si>
  <si>
    <t xml:space="preserve">4038-A</t>
  </si>
  <si>
    <t xml:space="preserve">4038-E</t>
  </si>
  <si>
    <t xml:space="preserve">4038-C</t>
  </si>
  <si>
    <t xml:space="preserve">Evict</t>
  </si>
  <si>
    <t xml:space="preserve">4025-A</t>
  </si>
  <si>
    <t xml:space="preserve">Notice-Unrented</t>
  </si>
  <si>
    <t xml:space="preserve">4037-B</t>
  </si>
  <si>
    <t xml:space="preserve">4010-B</t>
  </si>
  <si>
    <t xml:space="preserve">1/1.50</t>
  </si>
  <si>
    <t xml:space="preserve">Roman w/ WD</t>
  </si>
  <si>
    <t xml:space="preserve">4013-B</t>
  </si>
  <si>
    <t xml:space="preserve">4021-B</t>
  </si>
  <si>
    <t xml:space="preserve">4045-B</t>
  </si>
  <si>
    <t xml:space="preserve">4010-A</t>
  </si>
  <si>
    <t xml:space="preserve">2/1.00</t>
  </si>
  <si>
    <t xml:space="preserve">Cabernet w/ WD</t>
  </si>
  <si>
    <t xml:space="preserve">4013-A</t>
  </si>
  <si>
    <t xml:space="preserve">4021-A</t>
  </si>
  <si>
    <t xml:space="preserve">4045-A</t>
  </si>
  <si>
    <t xml:space="preserve">4009-A</t>
  </si>
  <si>
    <t xml:space="preserve">2/2.00</t>
  </si>
  <si>
    <t xml:space="preserve">Verdun</t>
  </si>
  <si>
    <t xml:space="preserve">4009-B</t>
  </si>
  <si>
    <t xml:space="preserve">Bordeaux</t>
  </si>
  <si>
    <t xml:space="preserve">4009-C</t>
  </si>
  <si>
    <t xml:space="preserve">4009-D</t>
  </si>
  <si>
    <t xml:space="preserve">4009-E</t>
  </si>
  <si>
    <t xml:space="preserve">4009-F</t>
  </si>
  <si>
    <t xml:space="preserve">4010-C</t>
  </si>
  <si>
    <t xml:space="preserve">4010-D</t>
  </si>
  <si>
    <t xml:space="preserve">4010-E</t>
  </si>
  <si>
    <t xml:space="preserve">4010-F</t>
  </si>
  <si>
    <t xml:space="preserve">4013-C</t>
  </si>
  <si>
    <t xml:space="preserve">4013-F</t>
  </si>
  <si>
    <t xml:space="preserve">4014-A</t>
  </si>
  <si>
    <t xml:space="preserve">4014-B</t>
  </si>
  <si>
    <t xml:space="preserve">4014-C</t>
  </si>
  <si>
    <t xml:space="preserve">4014-D</t>
  </si>
  <si>
    <t xml:space="preserve">4014-E</t>
  </si>
  <si>
    <t xml:space="preserve">4014-F</t>
  </si>
  <si>
    <t xml:space="preserve">4017-A</t>
  </si>
  <si>
    <t xml:space="preserve">4017-B</t>
  </si>
  <si>
    <t xml:space="preserve">4017-E</t>
  </si>
  <si>
    <t xml:space="preserve">4017-F</t>
  </si>
  <si>
    <t xml:space="preserve">4021-C</t>
  </si>
  <si>
    <t xml:space="preserve">4021-D</t>
  </si>
  <si>
    <t xml:space="preserve">4021-E</t>
  </si>
  <si>
    <t xml:space="preserve">4021-F</t>
  </si>
  <si>
    <t xml:space="preserve">4041-A</t>
  </si>
  <si>
    <t xml:space="preserve">4041-B</t>
  </si>
  <si>
    <t xml:space="preserve">4041-C</t>
  </si>
  <si>
    <t xml:space="preserve">4041-D</t>
  </si>
  <si>
    <t xml:space="preserve">4041-F</t>
  </si>
  <si>
    <t xml:space="preserve">4042-C</t>
  </si>
  <si>
    <t xml:space="preserve">4042-D</t>
  </si>
  <si>
    <t xml:space="preserve">4042-E</t>
  </si>
  <si>
    <t xml:space="preserve">4042-F</t>
  </si>
  <si>
    <t xml:space="preserve">4045-D</t>
  </si>
  <si>
    <t xml:space="preserve">4045-E</t>
  </si>
  <si>
    <t xml:space="preserve">4045-F</t>
  </si>
  <si>
    <t xml:space="preserve">4046-C</t>
  </si>
  <si>
    <t xml:space="preserve">4046-D</t>
  </si>
  <si>
    <t xml:space="preserve">4046-E</t>
  </si>
  <si>
    <t xml:space="preserve">4046-F</t>
  </si>
  <si>
    <t xml:space="preserve">4013-D</t>
  </si>
  <si>
    <t xml:space="preserve">4013-E</t>
  </si>
  <si>
    <t xml:space="preserve">4017-C</t>
  </si>
  <si>
    <t xml:space="preserve">4017-D</t>
  </si>
  <si>
    <t xml:space="preserve">4041-E</t>
  </si>
  <si>
    <t xml:space="preserve">4045-C</t>
  </si>
  <si>
    <t xml:space="preserve">Vacant-Unrented</t>
  </si>
  <si>
    <t xml:space="preserve">Vacant</t>
  </si>
  <si>
    <t xml:space="preserve">4046-A</t>
  </si>
  <si>
    <t xml:space="preserve">4046-B</t>
  </si>
  <si>
    <t xml:space="preserve">4001-B</t>
  </si>
  <si>
    <t xml:space="preserve">3/2.00</t>
  </si>
  <si>
    <t xml:space="preserve">Brunswick w/ WD</t>
  </si>
  <si>
    <t xml:space="preserve">4001-D</t>
  </si>
  <si>
    <t xml:space="preserve">4001-F</t>
  </si>
  <si>
    <t xml:space="preserve">4002-A</t>
  </si>
  <si>
    <t xml:space="preserve">4005-C</t>
  </si>
  <si>
    <t xml:space="preserve">4005-E</t>
  </si>
  <si>
    <t xml:space="preserve">4006-B</t>
  </si>
  <si>
    <t xml:space="preserve">4006-D</t>
  </si>
  <si>
    <t xml:space="preserve">4006-F</t>
  </si>
  <si>
    <t xml:space="preserve">4025-B</t>
  </si>
  <si>
    <t xml:space="preserve">4025-D</t>
  </si>
  <si>
    <t xml:space="preserve">4025-F</t>
  </si>
  <si>
    <t xml:space="preserve">4029-C</t>
  </si>
  <si>
    <t xml:space="preserve">4029-E</t>
  </si>
  <si>
    <t xml:space="preserve">4033-B</t>
  </si>
  <si>
    <t xml:space="preserve">4033-D</t>
  </si>
  <si>
    <t xml:space="preserve">4034-A</t>
  </si>
  <si>
    <t xml:space="preserve">4034-C</t>
  </si>
  <si>
    <t xml:space="preserve">4034-E</t>
  </si>
  <si>
    <t xml:space="preserve">4037-A</t>
  </si>
  <si>
    <t xml:space="preserve">4037-C</t>
  </si>
  <si>
    <t xml:space="preserve">4037-E</t>
  </si>
  <si>
    <t xml:space="preserve">4038-B</t>
  </si>
  <si>
    <t xml:space="preserve">4038-D</t>
  </si>
  <si>
    <t xml:space="preserve">4038-F</t>
  </si>
  <si>
    <t xml:space="preserve">4002-E</t>
  </si>
  <si>
    <t xml:space="preserve">4029-A</t>
  </si>
  <si>
    <t xml:space="preserve">4002-C</t>
  </si>
  <si>
    <t xml:space="preserve">4005-A</t>
  </si>
  <si>
    <t xml:space="preserve">4033-F</t>
  </si>
  <si>
    <t xml:space="preserve">Total / Average — 118 Units</t>
  </si>
  <si>
    <t xml:space="preserve">Case status rules applied: 'Notice-Unrented' and 'Evict' are treated as Occupied; any variation of 'Vacant' is treated as Vacant. Source: rent roll export dated 07/01/2026.</t>
  </si>
  <si>
    <t xml:space="preserve">In-unit washer/dryer is taken from the rent roll unit-type description ('w/ WD'), which the OM's own floor-plan and building-mix schedules corroborate at 53 units. Per the data hierarchy the rent roll governs over the OM's conflicting '78 of 118' statement.</t>
  </si>
  <si>
    <t xml:space="preserve">Floor Plan Mix, Renovation Scope and Renovated Rents (rent roll 07/01/2026)</t>
  </si>
  <si>
    <t xml:space="preserve">Floor Plan</t>
  </si>
  <si>
    <t xml:space="preserve">Type</t>
  </si>
  <si>
    <t xml:space="preserve">Units</t>
  </si>
  <si>
    <t xml:space="preserve">% of
Total</t>
  </si>
  <si>
    <t xml:space="preserve">SF /
Unit</t>
  </si>
  <si>
    <t xml:space="preserve">Total SF</t>
  </si>
  <si>
    <t xml:space="preserve">In-Unit
W/D</t>
  </si>
  <si>
    <t xml:space="preserve">Occ.
Units</t>
  </si>
  <si>
    <t xml:space="preserve">Market
Rent</t>
  </si>
  <si>
    <t xml:space="preserve">Market
Rent PSF</t>
  </si>
  <si>
    <t xml:space="preserve">In-Place
Rent (occ)</t>
  </si>
  <si>
    <t xml:space="preserve">Avg In-Place
Rent</t>
  </si>
  <si>
    <t xml:space="preserve">Loss to
Lease</t>
  </si>
  <si>
    <t xml:space="preserve">Reno Cost
/ Unit</t>
  </si>
  <si>
    <t xml:space="preserve">Reno Prem.
/ Month</t>
  </si>
  <si>
    <t xml:space="preserve">Renovated
Mkt Rent</t>
  </si>
  <si>
    <t xml:space="preserve">Renov.
Rent PSF</t>
  </si>
  <si>
    <t xml:space="preserve">1/1</t>
  </si>
  <si>
    <t xml:space="preserve">1/1.5</t>
  </si>
  <si>
    <t xml:space="preserve">2/1</t>
  </si>
  <si>
    <t xml:space="preserve">2/2</t>
  </si>
  <si>
    <t xml:space="preserve">3/2</t>
  </si>
  <si>
    <t xml:space="preserve">Total / Weighted Average</t>
  </si>
  <si>
    <t xml:space="preserve">AGGREGATE RENT POTENTIAL</t>
  </si>
  <si>
    <t xml:space="preserve">Total Market Rent — Classic Condition ($/month)</t>
  </si>
  <si>
    <t xml:space="preserve">Total Market Rent — Renovated ($/month)</t>
  </si>
  <si>
    <t xml:space="preserve">Average Market Rent / Unit — Classic</t>
  </si>
  <si>
    <t xml:space="preserve">Average Market Rent / Unit — Renovated</t>
  </si>
  <si>
    <t xml:space="preserve">Market Rent of the 4 Vacant Units ($/month)</t>
  </si>
  <si>
    <t xml:space="preserve">Total Renovation Capital ($)</t>
  </si>
  <si>
    <t xml:space="preserve">Units Requiring W/D Addition</t>
  </si>
  <si>
    <t xml:space="preserve">Unit counts, square footage, market rents and in-place rents are taken directly from the 07/01/2026 rent roll and foot to its total row ($153,435 market / $144,804 in-place / 134,371 SF). Renovation cost and premium are driven from the Assumptions tab.</t>
  </si>
  <si>
    <t xml:space="preserve">T-12 Actuals (Feb 2025 – Jan 2026) Recast to Underwriting Line Items</t>
  </si>
  <si>
    <t xml:space="preserve">REVENUE</t>
  </si>
  <si>
    <t xml:space="preserve">T-12 Actual</t>
  </si>
  <si>
    <t xml:space="preserve">Per Unit</t>
  </si>
  <si>
    <t xml:space="preserve">UW Year 1</t>
  </si>
  <si>
    <t xml:space="preserve">Variance</t>
  </si>
  <si>
    <t xml:space="preserve">Underwriting note</t>
  </si>
  <si>
    <t xml:space="preserve">Gross Rent Potential</t>
  </si>
  <si>
    <t xml:space="preserve">T-12 gross rent potential at then-current market rents. UW Year 1 reflects the 07/01/2026 rent roll, renovated-unit premiums as they come online, and market rent growth.</t>
  </si>
  <si>
    <t xml:space="preserve">Economic Vacancy / Loss to Lease</t>
  </si>
  <si>
    <t xml:space="preserve">T-12 loss to lease is 1.7% of GPR. Rent roll shows 2.2% in place today.</t>
  </si>
  <si>
    <t xml:space="preserve">Physical Vacancy</t>
  </si>
  <si>
    <t xml:space="preserve">T-12 physical vacancy is 9.4% of GPR (and deteriorating: Jan-26 alone was $20,757). UW is 5.0% operating plus renovation downtime.</t>
  </si>
  <si>
    <t xml:space="preserve">Concessions</t>
  </si>
  <si>
    <t xml:space="preserve">T-12 $9,688. Concessions restarted in Aug-25 after a year at zero.</t>
  </si>
  <si>
    <t xml:space="preserve">Bad Debt, net of collections</t>
  </si>
  <si>
    <t xml:space="preserve">T-12 gross write-offs $28,229 less $19,050 collected = $9,179 net (0.5%). Underwritten at 1.5% falling to 1.0% given 4 evictions and 8 notices on the rent roll.</t>
  </si>
  <si>
    <t xml:space="preserve">Net Rental Income</t>
  </si>
  <si>
    <t xml:space="preserve">OTHER INCOME</t>
  </si>
  <si>
    <t xml:space="preserve">   Carport / Garage Rent (74 carports @ $25)</t>
  </si>
  <si>
    <t xml:space="preserve">   Storage Rent (5 of 23 rented @ $15-20)</t>
  </si>
  <si>
    <t xml:space="preserve">   Credit Builder Fees</t>
  </si>
  <si>
    <t xml:space="preserve">   Onsite Transfer Fees</t>
  </si>
  <si>
    <t xml:space="preserve">   Administrative Fees</t>
  </si>
  <si>
    <t xml:space="preserve">   Utility Fees (water/sewer + valet trash bundled)</t>
  </si>
  <si>
    <t xml:space="preserve">   Technology Fee ($49 bulk internet, ramping)</t>
  </si>
  <si>
    <t xml:space="preserve">   Lease Termination Fees</t>
  </si>
  <si>
    <t xml:space="preserve">   Eviction Fees</t>
  </si>
  <si>
    <t xml:space="preserve">   Washer/Dryer Rental (programme discontinued)</t>
  </si>
  <si>
    <t xml:space="preserve">   Application Fees</t>
  </si>
  <si>
    <t xml:space="preserve">   Utility Reimbursement</t>
  </si>
  <si>
    <t xml:space="preserve">   Pet Fees</t>
  </si>
  <si>
    <t xml:space="preserve">   Short-Term Lease Fees</t>
  </si>
  <si>
    <t xml:space="preserve">   Late Fees</t>
  </si>
  <si>
    <t xml:space="preserve">   NSF Fees</t>
  </si>
  <si>
    <t xml:space="preserve">   Miscellaneous Income</t>
  </si>
  <si>
    <t xml:space="preserve">   Damage Charges (cleaning, flooring, paint, other)</t>
  </si>
  <si>
    <t xml:space="preserve">Total Operating Other Income</t>
  </si>
  <si>
    <t xml:space="preserve">Interest income of $4,133 is excluded as non-property income. Bad debt is shown above as a revenue deduction rather than netted in other income.</t>
  </si>
  <si>
    <t xml:space="preserve">Memo: Interest Income (excluded)</t>
  </si>
  <si>
    <t xml:space="preserve">Excluded from underwritten revenue — a function of the seller's cash balances, not the real estate.</t>
  </si>
  <si>
    <t xml:space="preserve">OPERATING EXPENSES</t>
  </si>
  <si>
    <t xml:space="preserve">Payroll (incl. contract labour)</t>
  </si>
  <si>
    <t xml:space="preserve">T-12 $227,969 ($1,932/unit) including $9,778 of contract labour. CBRE forecast $229,021 for a manager, part-time leasing, maintenance supervisor and one technician. We fund a second technician.</t>
  </si>
  <si>
    <t xml:space="preserve">Property Management Fee</t>
  </si>
  <si>
    <t xml:space="preserve">T-12 is an effective 3.5% of revenue. Underwritten at a market 4.0% of effective gross revenue.</t>
  </si>
  <si>
    <t xml:space="preserve">T-12 $26,399, of which $22,047 is ILS. Increased modestly for renovated-unit lease-up.</t>
  </si>
  <si>
    <t xml:space="preserve">T-12 $62,887 includes $17,528 legal and $14,730 tax/audit concentrated in Dec-25/Jan-26, almost certainly transaction-related. CBRE forecast $42,209. Underwritten at $50,000 between the two.</t>
  </si>
  <si>
    <t xml:space="preserve">Bulk Internet</t>
  </si>
  <si>
    <t xml:space="preserve">T-12 $11,068 captures only 7 months of a ramping contract. Stabilised is $27.95/unit/month = $39,577. Understating this line is the easiest way to overstate NOI on this deal.</t>
  </si>
  <si>
    <t xml:space="preserve">T-12 $30,320 across corporate and vacant-unit meters.</t>
  </si>
  <si>
    <t xml:space="preserve">T-12 $15,330. Central gas water heaters plus 8 individual electric.</t>
  </si>
  <si>
    <t xml:space="preserve">T-12 $86,468. Master-metered and billed back to residents; recovery is modelled at 85% in Other Income.</t>
  </si>
  <si>
    <t xml:space="preserve">T-12 $250,935 ($2,127/unit) including $42,921 of turnover cost. No post-renovation savings credited, though a fully renovated portfolio should run lighter.</t>
  </si>
  <si>
    <t xml:space="preserve">T-12 $94,611 ($802/unit). CBRE forecast $88,326. Held at T-12 plus a small cushion pending a loss run.</t>
  </si>
  <si>
    <t xml:space="preserve">T-12 $149,677 including a $17,958 October catch-up. CBRE's 2025-pay-2026 estimate with the SB-1 deduction is $135,374. Year 1 $140,000 stepping to $210,000 by Year 5 for reassessment on sale.</t>
  </si>
  <si>
    <t xml:space="preserve">Total Operating Expenses</t>
  </si>
  <si>
    <t xml:space="preserve">Net Operating Income</t>
  </si>
  <si>
    <t xml:space="preserve">Memo — items the property books below NOI or excludes:</t>
  </si>
  <si>
    <t xml:space="preserve">   Replacement Reserve / capital spend (T-12 actual)</t>
  </si>
  <si>
    <t xml:space="preserve">The property expensed $108,412 of capital below the line in the T-12, including $34,535 of concrete/asphalt and $29,053 of water heaters. Evidence of real ongoing capital need.</t>
  </si>
  <si>
    <t xml:space="preserve">   Depreciation &amp; Amortisation</t>
  </si>
  <si>
    <t xml:space="preserve">Non-cash; excluded.</t>
  </si>
  <si>
    <t xml:space="preserve">Source: Chateau in the Woods Trailing Profit And Loss Detail, January 2026, accrual basis (ResMan), covering February 2025 through January 2026. All T-12 figures are the report's own Adjusted Total column.</t>
  </si>
  <si>
    <t xml:space="preserve">Tie-out: the property's own statement shows total income of $1,790,101 less total expense of $1,017,727 = $772,374 of NOI. This recast shows $768,242, the difference being the $4,133 of interest income excluded above as non-property income. Bad debt is presented here as a revenue deduction rather than netted inside other income, which changes the presentation but not the NOI.</t>
  </si>
  <si>
    <t xml:space="preserve">Other Income Build — T-12 Actuals plus Identified Ancillary Upside</t>
  </si>
  <si>
    <t xml:space="preserve">Ramp — Technology Fee ($49) implementation</t>
  </si>
  <si>
    <t xml:space="preserve">Contract signed May 2025 and implemented on new leases and renewals over 13 months. Jan-26 booked $3,303 of a $5,489 full month, i.e. 60% penetrated at the T-12 close.</t>
  </si>
  <si>
    <t xml:space="preserve">Ramp — Valet Trash ($25) implementation</t>
  </si>
  <si>
    <t xml:space="preserve">Charged on new leases and renewals. The property begins paying the valet contractor in Jan-2026.</t>
  </si>
  <si>
    <t xml:space="preserve">Ramp — Pet Rent (new policy)</t>
  </si>
  <si>
    <t xml:space="preserve">The property charges no pet fee or pet rent today. New policy phased in on renewals over year one.</t>
  </si>
  <si>
    <t xml:space="preserve">Economic occupancy factor for per-unit charges</t>
  </si>
  <si>
    <t xml:space="preserve">Consistent with CBRE's other-income forecast method.</t>
  </si>
  <si>
    <t xml:space="preserve">OTHER INCOME LINE ITEMS</t>
  </si>
  <si>
    <t xml:space="preserve">Water &amp; Sewer Recovery (85% of expense)</t>
  </si>
  <si>
    <t xml:space="preserve">T-12 Utility Fees of $97,812 bundle water/sewer and valet trash. CBRE's forecast splits them and assumes 85% water/sewer recovery. Flexes with the water &amp; sewer expense line.</t>
  </si>
  <si>
    <t xml:space="preserve">Valet Trash ($25/unit/month)</t>
  </si>
  <si>
    <t xml:space="preserve">Broken out of Utility Fees per CBRE. A valet contract has been signed and the property starts paying for the service in Jan-2026, so the charge must be collected.</t>
  </si>
  <si>
    <t xml:space="preserve">Technology Fee ($49/unit/month)</t>
  </si>
  <si>
    <t xml:space="preserve">Offsets the $27.95/unit/month bulk internet expense. Contractual and already being billed.</t>
  </si>
  <si>
    <t xml:space="preserve">Carport Rent (74 carports @ $25/month)</t>
  </si>
  <si>
    <t xml:space="preserve">T-12 actual. 74 carports at $25; occupancy of the carports, not the units.</t>
  </si>
  <si>
    <t xml:space="preserve">Pet Rent ($30/month on 25% of units)</t>
  </si>
  <si>
    <t xml:space="preserve">The property currently charges nothing for pets. A conservative $30/month on 25% of units; CBRE forecasts the same $10,620.</t>
  </si>
  <si>
    <t xml:space="preserve">Storage Rent (23 units available)</t>
  </si>
  <si>
    <t xml:space="preserve">Only 5 of 23 storage units are rented today at $15-20. Underwritten at 12 rented at $25.</t>
  </si>
  <si>
    <t xml:space="preserve">Application &amp; Administrative Fees</t>
  </si>
  <si>
    <t xml:space="preserve">T-12 actual: application, administrative, credit builder and transfer fees.</t>
  </si>
  <si>
    <t xml:space="preserve">Late &amp; NSF Fees</t>
  </si>
  <si>
    <t xml:space="preserve">T-12 actual.</t>
  </si>
  <si>
    <t xml:space="preserve">Short-Term Lease Premiums</t>
  </si>
  <si>
    <t xml:space="preserve">T-12 actual. $75/month on 6-8 month renewals, $50/month on 9-11 month renewals.</t>
  </si>
  <si>
    <t xml:space="preserve">Lease Termination &amp; Eviction Fees</t>
  </si>
  <si>
    <t xml:space="preserve">T-12 $7,096. Haircut — volatile and partly a function of the current resident base.</t>
  </si>
  <si>
    <t xml:space="preserve">Damage Charges Recovered (net of SODA)</t>
  </si>
  <si>
    <t xml:space="preserve">T-12 $20,467. Haircut; should fall as the resident profile improves post-renovation.</t>
  </si>
  <si>
    <t xml:space="preserve">Miscellaneous &amp; Utility Reimbursement</t>
  </si>
  <si>
    <t xml:space="preserve">T-12 actual, lightly haircut.</t>
  </si>
  <si>
    <t xml:space="preserve">Washer/Dryer Rental</t>
  </si>
  <si>
    <t xml:space="preserve">Programme discontinued, and in-unit laundry is now monetised through the rent premium. Set to zero to avoid double-counting.</t>
  </si>
  <si>
    <t xml:space="preserve">Total Other Income</t>
  </si>
  <si>
    <t xml:space="preserve">   Per Unit</t>
  </si>
  <si>
    <t xml:space="preserve">   % of Effective Gross Revenue</t>
  </si>
  <si>
    <t xml:space="preserve">T-12 total operating other income of $193,598 ($1,641/unit) excludes $4,133 of interest income and treats bad debt as a revenue deduction. CBRE's Acquisition Forecast is $263,803 ($2,236/unit); the ancillary upside underwritten here — fully implementing the technology fee and valet trash charge, and introducing pet rent — is the same upside the OM identifies, phased in over the ramps shown above rather than assumed on day one.</t>
  </si>
  <si>
    <t xml:space="preserve">Non-Unit Capital Budget — Deferred Maintenance, Building Systems &amp; Amenities</t>
  </si>
  <si>
    <t xml:space="preserve">Total Cost</t>
  </si>
  <si>
    <t xml:space="preserve">Yr 1 %</t>
  </si>
  <si>
    <t xml:space="preserve">Yr 2 %</t>
  </si>
  <si>
    <t xml:space="preserve">Yr 3 %</t>
  </si>
  <si>
    <t xml:space="preserve">Yr 4 %</t>
  </si>
  <si>
    <t xml:space="preserve">Yr 5 %</t>
  </si>
  <si>
    <t xml:space="preserve">Scope and source</t>
  </si>
  <si>
    <t xml:space="preserve">Roof replacement — 3.5 of 5 roofs</t>
  </si>
  <si>
    <t xml:space="preserve">OM: '3.5 of 5 roofs are older than 2006. They are rubber roofs. Assume they will need to be replaced within 10 years.' Building 4 cost $90,000 in 2020 and half of Building 5 cost $54,507 in 2024. A buyer in five years will price any roof we do not replace, so it is underwritten inside the hold.</t>
  </si>
  <si>
    <t xml:space="preserve">Asphalt patch, sealcoat &amp; stripe</t>
  </si>
  <si>
    <t xml:space="preserve">OM immediate need: parking lot and carport areas. The property spent $34,535 on concrete/asphalt in the T-12 alone and $38,749 in 2022 — patch-and-repair, not a programme.</t>
  </si>
  <si>
    <t xml:space="preserve">Sump pumps (4) &amp; patio drain cleanout</t>
  </si>
  <si>
    <t xml:space="preserve">OM immediate need: 37 below-grade units, 4 sump pumps needed. Water intrusion risk in below-grade units is a live liability, not a cosmetic item.</t>
  </si>
  <si>
    <t xml:space="preserve">Window &amp; sliding patio door glass</t>
  </si>
  <si>
    <t xml:space="preserve">OM: original aluminium sliders and sliding patio doors, fogged glass replaced on turns. Executed with the interior renovation on each turn.</t>
  </si>
  <si>
    <t xml:space="preserve">Building entry system upgrades (20 entries)</t>
  </si>
  <si>
    <t xml:space="preserve">OM value-add item: upgrade building entry systems across the 20 building entries.</t>
  </si>
  <si>
    <t xml:space="preserve">Clubhouse, business centre &amp; fitness refresh</t>
  </si>
  <si>
    <t xml:space="preserve">OM suggested amenity: update clubhouse furniture and decor. Required to support renovated rents.</t>
  </si>
  <si>
    <t xml:space="preserve">Dog park, grilling stations &amp; pool deck seating</t>
  </si>
  <si>
    <t xml:space="preserve">OM suggested amenities. Low cost, high visibility on tours; supports the rent premium.</t>
  </si>
  <si>
    <t xml:space="preserve">Exterior paint, landscaping &amp; signage refresh</t>
  </si>
  <si>
    <t xml:space="preserve">Curb appeal. Siding is fibre cement and was replaced in 2020 ($225,000), so this is paint and grounds, not envelope.</t>
  </si>
  <si>
    <t xml:space="preserve">Total Non-Unit Capital</t>
  </si>
  <si>
    <t xml:space="preserve">   Check: phasing sums to 100%</t>
  </si>
  <si>
    <t xml:space="preserve">Excluded from this budget by choice, and therefore from the returns: converting the Building 4042 maintenance storage into two additional apartments, and converting the back 9 carports to garages plus a new maintenance shop. Both are identified in the OM and both are genuine, but at roughly $310,000 and $180,000 respectively they return only about 5-10% on cost against a 12.7% interior programme. They are upside we would pursue with a second look at scope and pricing, not underwritten value.</t>
  </si>
  <si>
    <t xml:space="preserve">60-Month Renovation Schedule — Unit Delivery, Capital Spend and Downtime</t>
  </si>
  <si>
    <t xml:space="preserve">Month</t>
  </si>
  <si>
    <t xml:space="preserve">Date</t>
  </si>
  <si>
    <t xml:space="preserve">Model
Year</t>
  </si>
  <si>
    <t xml:space="preserve">Units
Completed</t>
  </si>
  <si>
    <t xml:space="preserve">Cumulative
Renovated</t>
  </si>
  <si>
    <t xml:space="preserve">Renovated Units
Earning Premium</t>
  </si>
  <si>
    <t xml:space="preserve">Classic
Units</t>
  </si>
  <si>
    <t xml:space="preserve">Reno'd w/
Existing W/D</t>
  </si>
  <si>
    <t xml:space="preserve">Reno'd Needing
W/D Add</t>
  </si>
  <si>
    <t xml:space="preserve">Interior
Capex</t>
  </si>
  <si>
    <t xml:space="preserve">W/D Install
Capex</t>
  </si>
  <si>
    <t xml:space="preserve">Total Reno
Capex</t>
  </si>
  <si>
    <t xml:space="preserve">Downtime Vac.
(% of GPR)</t>
  </si>
  <si>
    <t xml:space="preserve">Total</t>
  </si>
  <si>
    <t xml:space="preserve">ANNUAL SUMMARY — FEEDS THE CASH FLOW MODEL</t>
  </si>
  <si>
    <t xml:space="preserve">Units Completed in Year</t>
  </si>
  <si>
    <t xml:space="preserve">Cumulative Renovated at Year End</t>
  </si>
  <si>
    <t xml:space="preserve">Average Renovated Units Earning Premium</t>
  </si>
  <si>
    <t xml:space="preserve">Average Classic Units</t>
  </si>
  <si>
    <t xml:space="preserve">Renovation Capital Spend</t>
  </si>
  <si>
    <t xml:space="preserve">Renovation Downtime Vacancy (% of GPR)</t>
  </si>
  <si>
    <t xml:space="preserve">A unit renovated during month m begins earning the renovated rent in month m+1, so column F (renovated units earning the premium) is the prior month's cumulative count. Renovations are executed on natural turnover at 5 units a month, completing all 118 units in month 26.</t>
  </si>
  <si>
    <t xml:space="preserve">Five-Year Operating Cash Flow — August 2026 through July 2031</t>
  </si>
  <si>
    <t xml:space="preserve">Year 6
(exit)</t>
  </si>
  <si>
    <t xml:space="preserve">Period Ending</t>
  </si>
  <si>
    <t xml:space="preserve">MARKET RENT INDEXATION</t>
  </si>
  <si>
    <t xml:space="preserve">Rent Index — End of Year</t>
  </si>
  <si>
    <t xml:space="preserve">Prior year index × (1 + growth)</t>
  </si>
  <si>
    <t xml:space="preserve">Rent Factor — Mid-Year Convention</t>
  </si>
  <si>
    <t xml:space="preserve">SQRT(prior year-end index × this year-end index)</t>
  </si>
  <si>
    <t xml:space="preserve">UNIT POSITION</t>
  </si>
  <si>
    <t xml:space="preserve">Average Renovated Units</t>
  </si>
  <si>
    <t xml:space="preserve">Units Renovated in Year</t>
  </si>
  <si>
    <t xml:space="preserve">Cumulative Renovated (% of portfolio)</t>
  </si>
  <si>
    <t xml:space="preserve">Gross Potential Rent — Classic Units</t>
  </si>
  <si>
    <t xml:space="preserve">Avg classic units × avg classic market rent × 12 × rent factor</t>
  </si>
  <si>
    <t xml:space="preserve">Gross Potential Rent — Renovated Units</t>
  </si>
  <si>
    <t xml:space="preserve">Avg renovated units × avg renovated market rent × 12 × rent factor</t>
  </si>
  <si>
    <t xml:space="preserve">Gross Potential Rent</t>
  </si>
  <si>
    <t xml:space="preserve">   Average Monthly Rent per Unit</t>
  </si>
  <si>
    <t xml:space="preserve">GPR / units / 12</t>
  </si>
  <si>
    <t xml:space="preserve">Less: Loss to Lease</t>
  </si>
  <si>
    <t xml:space="preserve">% of GPR (Assumptions)</t>
  </si>
  <si>
    <t xml:space="preserve">Less: Operating Physical Vacancy</t>
  </si>
  <si>
    <t xml:space="preserve">Less: Renovation Downtime Vacancy</t>
  </si>
  <si>
    <t xml:space="preserve">Reno Schedule × GPR</t>
  </si>
  <si>
    <t xml:space="preserve">Less: Concessions</t>
  </si>
  <si>
    <t xml:space="preserve">Less: Bad Debt</t>
  </si>
  <si>
    <t xml:space="preserve">   Economic Occupancy</t>
  </si>
  <si>
    <t xml:space="preserve">NRI / GPR</t>
  </si>
  <si>
    <t xml:space="preserve">   Physical Occupancy</t>
  </si>
  <si>
    <t xml:space="preserve">1 - operating - downtime vacancy</t>
  </si>
  <si>
    <t xml:space="preserve">Other Income tab</t>
  </si>
  <si>
    <t xml:space="preserve">Effective Gross Revenue</t>
  </si>
  <si>
    <t xml:space="preserve">Year 1 input, grown</t>
  </si>
  <si>
    <t xml:space="preserve">% of effective gross revenue</t>
  </si>
  <si>
    <t xml:space="preserve">$27.95/unit/month stabilised, grown</t>
  </si>
  <si>
    <t xml:space="preserve">Electricity</t>
  </si>
  <si>
    <t xml:space="preserve">Gas</t>
  </si>
  <si>
    <t xml:space="preserve">Year 1 input, grown; 85% recovered in Other Income</t>
  </si>
  <si>
    <t xml:space="preserve">Repairs &amp; Maintenance</t>
  </si>
  <si>
    <t xml:space="preserve">Explicit annual schedule (reassessment on sale)</t>
  </si>
  <si>
    <t xml:space="preserve">   Operating Expense Ratio</t>
  </si>
  <si>
    <t xml:space="preserve">Total opex / EGR</t>
  </si>
  <si>
    <t xml:space="preserve">NET OPERATING INCOME</t>
  </si>
  <si>
    <t xml:space="preserve">   NOI per Unit</t>
  </si>
  <si>
    <t xml:space="preserve">   NOI Margin</t>
  </si>
  <si>
    <t xml:space="preserve">   NOI Growth</t>
  </si>
  <si>
    <t xml:space="preserve">   Yield on Purchase Price</t>
  </si>
  <si>
    <t xml:space="preserve">NOI / purchase price</t>
  </si>
  <si>
    <t xml:space="preserve">   Yield on Total Cost</t>
  </si>
  <si>
    <t xml:space="preserve">NOI / (price + all capital)</t>
  </si>
  <si>
    <t xml:space="preserve">BELOW NOI</t>
  </si>
  <si>
    <t xml:space="preserve">Less: Replacement Reserves</t>
  </si>
  <si>
    <t xml:space="preserve">$/unit/year, grown</t>
  </si>
  <si>
    <t xml:space="preserve">Net Cash Flow before Debt Service</t>
  </si>
  <si>
    <t xml:space="preserve">Less: Interest Expense</t>
  </si>
  <si>
    <t xml:space="preserve">Loan balance × rate (interest-only)</t>
  </si>
  <si>
    <t xml:space="preserve">Cash Flow to Equity (operations)</t>
  </si>
  <si>
    <t xml:space="preserve">   Debt Service Coverage Ratio</t>
  </si>
  <si>
    <t xml:space="preserve">NOI / interest</t>
  </si>
  <si>
    <t xml:space="preserve">   Debt Yield</t>
  </si>
  <si>
    <t xml:space="preserve">NOI / loan balance</t>
  </si>
  <si>
    <t xml:space="preserve">   Cash-on-Cash Return</t>
  </si>
  <si>
    <t xml:space="preserve">CF to equity / sponsor equity</t>
  </si>
  <si>
    <t xml:space="preserve">MEMO — CAPITAL SPEND (funded at closing per Sources &amp; Uses)</t>
  </si>
  <si>
    <t xml:space="preserve">Renovation Capital</t>
  </si>
  <si>
    <t xml:space="preserve">Non-Unit / Deferred Maintenance Capital</t>
  </si>
  <si>
    <t xml:space="preserve">Contingency</t>
  </si>
  <si>
    <t xml:space="preserve">% of capital spend</t>
  </si>
  <si>
    <t xml:space="preserve">Total Capital Deployed</t>
  </si>
  <si>
    <t xml:space="preserve">Capital is deployed over the schedule shown above but funded in full at closing in Sources &amp; Uses, so it is not deducted again from annual cash flow. That convention is conservative: it puts 100% of the equity out on day one and gives the model no benefit from the real timing of draws.</t>
  </si>
  <si>
    <t xml:space="preserve">Sources &amp; Uses, Debt, Exit Valuation and Returns</t>
  </si>
  <si>
    <t xml:space="preserve">SOURCES &amp; USES</t>
  </si>
  <si>
    <t xml:space="preserve">USES</t>
  </si>
  <si>
    <t xml:space="preserve">Amount</t>
  </si>
  <si>
    <t xml:space="preserve">% of Total</t>
  </si>
  <si>
    <t xml:space="preserve">Note</t>
  </si>
  <si>
    <t xml:space="preserve">Implied by the OM's 6.9% Year-1 cap rate on CBRE's forecast NOI.</t>
  </si>
  <si>
    <t xml:space="preserve">Acquisition Costs</t>
  </si>
  <si>
    <t xml:space="preserve">1.5% of price.</t>
  </si>
  <si>
    <t xml:space="preserve">Renovation Capital (118 units)</t>
  </si>
  <si>
    <t xml:space="preserve">$13,000/unit interior plus $5,000/unit for the 65 units gaining laundry.</t>
  </si>
  <si>
    <t xml:space="preserve">Roofs, asphalt, sump pumps, glass, entries, amenities.</t>
  </si>
  <si>
    <t xml:space="preserve">Capital Contingency</t>
  </si>
  <si>
    <t xml:space="preserve">8% of all capital.</t>
  </si>
  <si>
    <t xml:space="preserve">Financing Costs</t>
  </si>
  <si>
    <t xml:space="preserve">1% origination plus lender legal, appraisal, engineering and escrow set-up.</t>
  </si>
  <si>
    <t xml:space="preserve">Total Uses</t>
  </si>
  <si>
    <t xml:space="preserve">SOURCES</t>
  </si>
  <si>
    <t xml:space="preserve">Senior / Value-Add Loan</t>
  </si>
  <si>
    <t xml:space="preserve">Sponsor Equity</t>
  </si>
  <si>
    <t xml:space="preserve">Total Sources</t>
  </si>
  <si>
    <t xml:space="preserve">   Check: sources = uses</t>
  </si>
  <si>
    <t xml:space="preserve">TOTAL CAPITALISATION &amp; DEBT TERMS</t>
  </si>
  <si>
    <t xml:space="preserve">Total Capitalised Cost (price + all capital)</t>
  </si>
  <si>
    <t xml:space="preserve">Basis for loan-to-cost sizing and the yield-on-cost metric.</t>
  </si>
  <si>
    <t xml:space="preserve">   Total Cost per Unit</t>
  </si>
  <si>
    <t xml:space="preserve">Loan Sizing Test 1 — Maximum Loan to Cost</t>
  </si>
  <si>
    <t xml:space="preserve">Maximum loan-to-cost applied to total capitalised cost.</t>
  </si>
  <si>
    <t xml:space="preserve">Loan Sizing Test 2 — Minimum Debt Yield</t>
  </si>
  <si>
    <t xml:space="preserve">Year-1 NOI divided by the minimum debt yield.</t>
  </si>
  <si>
    <t xml:space="preserve">Loan Sizing Test 3 — Minimum DSCR</t>
  </si>
  <si>
    <t xml:space="preserve">Year-1 NOI divided by (minimum DSCR × interest rate), interest-only.</t>
  </si>
  <si>
    <t xml:space="preserve">Loan Amount (lesser of the three tests)</t>
  </si>
  <si>
    <t xml:space="preserve">Sizing to the lesser of the three tests, as a lender would.</t>
  </si>
  <si>
    <t xml:space="preserve">   Effective Loan to Cost</t>
  </si>
  <si>
    <t xml:space="preserve">   Loan per Unit</t>
  </si>
  <si>
    <t xml:space="preserve">Annual Interest Expense</t>
  </si>
  <si>
    <t xml:space="preserve">Year-1 Debt Yield</t>
  </si>
  <si>
    <t xml:space="preserve">Lender test: NOI / loan.</t>
  </si>
  <si>
    <t xml:space="preserve">Year-1 DSCR</t>
  </si>
  <si>
    <t xml:space="preserve">Lender test: NOI / interest.</t>
  </si>
  <si>
    <t xml:space="preserve">EXIT VALUATION — END OF YEAR 5</t>
  </si>
  <si>
    <t xml:space="preserve">Year-6 Forward NOI</t>
  </si>
  <si>
    <t xml:space="preserve">Next-twelve-months NOI a buyer would capitalise.</t>
  </si>
  <si>
    <t xml:space="preserve">Exit Cap Rate</t>
  </si>
  <si>
    <t xml:space="preserve">15 bps inside the going-in cap, reflecting a fully renovated asset with in-unit laundry throughout.</t>
  </si>
  <si>
    <t xml:space="preserve">Gross Sale Value</t>
  </si>
  <si>
    <t xml:space="preserve">   Value per Unit</t>
  </si>
  <si>
    <t xml:space="preserve">Less: Cost of Sale</t>
  </si>
  <si>
    <t xml:space="preserve">Net Sale Proceeds</t>
  </si>
  <si>
    <t xml:space="preserve">Less: Loan Repayment</t>
  </si>
  <si>
    <t xml:space="preserve">Net Proceeds to Equity</t>
  </si>
  <si>
    <t xml:space="preserve">   Value Created over Total Cost</t>
  </si>
  <si>
    <t xml:space="preserve">Net sale proceeds less total capitalised cost and acquisition costs.</t>
  </si>
  <si>
    <t xml:space="preserve">CASH FLOWS AND RETURNS</t>
  </si>
  <si>
    <t xml:space="preserve">At Close</t>
  </si>
  <si>
    <t xml:space="preserve">UNLEVERED</t>
  </si>
  <si>
    <t xml:space="preserve">Total Unlevered Cash Flow</t>
  </si>
  <si>
    <t xml:space="preserve">LEVERED</t>
  </si>
  <si>
    <t xml:space="preserve">Net Proceeds to Equity at Sale</t>
  </si>
  <si>
    <t xml:space="preserve">Total Levered Cash Flow</t>
  </si>
  <si>
    <t xml:space="preserve">RETURN SUMMARY</t>
  </si>
  <si>
    <t xml:space="preserve">Unlevered</t>
  </si>
  <si>
    <t xml:space="preserve">Levered</t>
  </si>
  <si>
    <t xml:space="preserve">Internal Rate of Return</t>
  </si>
  <si>
    <t xml:space="preserve">Equity Multiple</t>
  </si>
  <si>
    <t xml:space="preserve">Profit</t>
  </si>
  <si>
    <t xml:space="preserve">Average Cash-on-Cash (Years 1-5)</t>
  </si>
  <si>
    <t xml:space="preserve">Going-In Cap Rate (our underwriting)</t>
  </si>
  <si>
    <t xml:space="preserve">Stabilised Yield on Total Cost (Year 5)</t>
  </si>
  <si>
    <t xml:space="preserve">Development spread over the 6.75% exit cap is the value created by the business plan.</t>
  </si>
  <si>
    <t xml:space="preserve">Renovation Return on Cost</t>
  </si>
  <si>
    <t xml:space="preserve">HURDLE TEST &amp; RECOMMENDATION</t>
  </si>
  <si>
    <t xml:space="preserve">Target</t>
  </si>
  <si>
    <t xml:space="preserve">This Deal</t>
  </si>
  <si>
    <t xml:space="preserve">Result</t>
  </si>
  <si>
    <t xml:space="preserve">Levered IRR</t>
  </si>
  <si>
    <t xml:space="preserve">Year-5 Yield on Total Cost vs Exit Cap (spread)</t>
  </si>
  <si>
    <t xml:space="preserve">Recommended Maximum Bid</t>
  </si>
  <si>
    <t xml:space="preserve">The highest basis at which this business plan clears a 14% levered IRR and a 1.8x multiple on our underwriting. See the Sensitivities tab, which computes the full price ladder live.</t>
  </si>
  <si>
    <t xml:space="preserve">Implied Going-In Cap at the Recommended Bid</t>
  </si>
  <si>
    <t xml:space="preserve">Discount to the Implied Ask</t>
  </si>
  <si>
    <t xml:space="preserve">AT THE RECOMMENDED BID — SIDE BY SIDE</t>
  </si>
  <si>
    <t xml:space="preserve">At the Ask</t>
  </si>
  <si>
    <t xml:space="preserve">At Our Bid</t>
  </si>
  <si>
    <t xml:space="preserve">Operating NOI is identical in both cases — only the basis, the loan and the equity change.</t>
  </si>
  <si>
    <t xml:space="preserve">Price per Unit</t>
  </si>
  <si>
    <t xml:space="preserve">Total Capitalised Cost</t>
  </si>
  <si>
    <t xml:space="preserve">All-in Basis per Unit</t>
  </si>
  <si>
    <t xml:space="preserve">Going-In Cap Rate (our Year-1 NOI)</t>
  </si>
  <si>
    <t xml:space="preserve">Year-5 Yield on Total Cost</t>
  </si>
  <si>
    <t xml:space="preserve">Spread to the Exit Cap</t>
  </si>
  <si>
    <t xml:space="preserve">Loan Amount</t>
  </si>
  <si>
    <t xml:space="preserve">Unlevered Cash Flow at Our Bid</t>
  </si>
  <si>
    <t xml:space="preserve">Levered Cash Flow at Our Bid</t>
  </si>
  <si>
    <t xml:space="preserve">Unlevered IRR  /  Equity Multiple</t>
  </si>
  <si>
    <t xml:space="preserve">Levered IRR  /  Equity Multiple</t>
  </si>
  <si>
    <t xml:space="preserve">VALUE CREATION BRIDGE — WHERE THE MONEY IS MADE (AND LOST)</t>
  </si>
  <si>
    <t xml:space="preserve">Component</t>
  </si>
  <si>
    <t xml:space="preserve">Comment</t>
  </si>
  <si>
    <t xml:space="preserve">What we pay.</t>
  </si>
  <si>
    <t xml:space="preserve">Earns a 12.7% return on cost.</t>
  </si>
  <si>
    <t xml:space="preserve">Earns no direct rent. Required to hold the asset and to support the renovated rents, but it is a pure drag on returns.</t>
  </si>
  <si>
    <t xml:space="preserve">Cumulative NOI, Years 1-5</t>
  </si>
  <si>
    <t xml:space="preserve">Five years of operations.</t>
  </si>
  <si>
    <t xml:space="preserve">Replacement Reserves over the hold</t>
  </si>
  <si>
    <t xml:space="preserve">Year-6 NOI capitalised at the exit cap, less 1.5% cost of sale.</t>
  </si>
  <si>
    <t xml:space="preserve">Unlevered Profit</t>
  </si>
  <si>
    <t xml:space="preserve">NOI lift created by the renovation programme</t>
  </si>
  <si>
    <t xml:space="preserve">Blended premium, net of vacancy, loss to lease, concessions, bad debt and the management fee.</t>
  </si>
  <si>
    <t xml:space="preserve">Value of that lift at the exit cap</t>
  </si>
  <si>
    <t xml:space="preserve">Less: renovation capital + its share of contingency</t>
  </si>
  <si>
    <t xml:space="preserve">Value created by the interior programme</t>
  </si>
  <si>
    <t xml:space="preserve">Less: non-unit capital + its share of contingency (no rent lift)</t>
  </si>
  <si>
    <t xml:space="preserve">Net value created by the capital plan</t>
  </si>
  <si>
    <t xml:space="preserve">This is the heart of the recommendation. The interior renovation is a good project on its own — a 12.7% return on cost against a 6.75% exit cap. But roughly a third of the capital budget is deferred maintenance that generates no rent, and it consumes almost all of the value the renovation creates. The operating upside the OM advertises (burning off loss to lease, occupancy to 95%, fully billing the technology and valet trash charges) is already embedded in the forecast NOI the asking price is struck against — so we would be paying today for value we have to create ourselves.</t>
  </si>
  <si>
    <t xml:space="preserve">Cash flow convention: all capital is funded at closing, so the Year-0 outflow carries the full renovation and property capital budget and annual cash flow deducts only interest and replacement reserves. Interest is constant because the loan is interest-only and fully drawn at close.</t>
  </si>
  <si>
    <t xml:space="preserve">Live Sensitivity Grids — recalculate with every change to the Assumptions tab</t>
  </si>
  <si>
    <t xml:space="preserve">HELPER BLOCK 1 — PURCHASE PRICE × EXIT CAP (live cash flows)</t>
  </si>
  <si>
    <t xml:space="preserve">Purchase
Price</t>
  </si>
  <si>
    <t xml:space="preserve">Exit Cap</t>
  </si>
  <si>
    <t xml:space="preserve">Loan</t>
  </si>
  <si>
    <t xml:space="preserve">Equity</t>
  </si>
  <si>
    <t xml:space="preserve">Year 0</t>
  </si>
  <si>
    <t xml:space="preserve">Equity Mult.</t>
  </si>
  <si>
    <t xml:space="preserve">GRID 1A — LEVERED IRR: PURCHASE PRICE × EXIT CAP</t>
  </si>
  <si>
    <t xml:space="preserve">Purchase Price \ Exit Cap</t>
  </si>
  <si>
    <t xml:space="preserve">Price / Unit</t>
  </si>
  <si>
    <t xml:space="preserve">$14,200,000 is the price implied by the OM's 6.9% Year-1 cap rate; $12,250,000 ($103,814/unit) is the recommended bid, the highest basis at which this business plan clears a 14% levered IRR and a 1.8x multiple. Both cells are highlighted in the 6.75% column. Note that below roughly $13.5mm the loan is constrained by maximum loan-to-cost, and above it by the 8.0% minimum debt yield.</t>
  </si>
  <si>
    <t xml:space="preserve">GRID 1B — EQUITY MULTIPLE: PURCHASE PRICE × EXIT CAP</t>
  </si>
  <si>
    <t xml:space="preserve">HELPER BLOCK 2 — RENOVATION PREMIUM × EXIT CAP (live cash flows)</t>
  </si>
  <si>
    <t xml:space="preserve">Blended Premium
($/unit/month)</t>
  </si>
  <si>
    <t xml:space="preserve">Δ vs Base</t>
  </si>
  <si>
    <t xml:space="preserve">Y6 NOI</t>
  </si>
  <si>
    <t xml:space="preserve">Y1 NOI</t>
  </si>
  <si>
    <t xml:space="preserve">GRID 2 — LEVERED IRR: RENOVATION PREMIUM × EXIT CAP (at the base purchase price)</t>
  </si>
  <si>
    <t xml:space="preserve">Blended Premium \ Exit Cap</t>
  </si>
  <si>
    <t xml:space="preserve">Return on Cost</t>
  </si>
  <si>
    <t xml:space="preserve">Grid 2 holds the purchase price at the base case and flexes the blended renovation premium. $125 is CBRE's light-touch scope plus a partial W/D benefit; $166 is our base case; $190 approximates achieving the top of the submarket comp range. Even at $190 the deal does not clear a value-add hurdle at the base price — the constraint is basis, not the renovation.</t>
  </si>
  <si>
    <t xml:space="preserve">Due Diligence &amp; Seller / Broker Question List — with the answer assumed in this model</t>
  </si>
  <si>
    <t xml:space="preserve">#</t>
  </si>
  <si>
    <t xml:space="preserve">Category</t>
  </si>
  <si>
    <t xml:space="preserve">Question for the seller / broker</t>
  </si>
  <si>
    <t xml:space="preserve">Reasonable answer assumed in this model</t>
  </si>
  <si>
    <t xml:space="preserve">Priority</t>
  </si>
  <si>
    <t xml:space="preserve">1. RENT ROLL, LEASES &amp; LEASING PERFORMANCE</t>
  </si>
  <si>
    <t xml:space="preserve">Rent Roll, Leases &amp; Leasing Performance</t>
  </si>
  <si>
    <t xml:space="preserve">Please provide the complete lease file for all 118 units: executed leases, every addendum, renewal notices, and the current concession log by unit.</t>
  </si>
  <si>
    <t xml:space="preserve">No unusual concessions or side agreements. Concessions underwritten at 0.75% of gross potential rent in Years 1-2, falling to 0.50%.</t>
  </si>
  <si>
    <t xml:space="preserve">High</t>
  </si>
  <si>
    <t xml:space="preserve">The 07/01/2026 rent roll shows 4 units in Evict and 8 in Notice-Unrented. For each, what is the status of the action, what is owed, and when is possession expected?</t>
  </si>
  <si>
    <t xml:space="preserve">All four evictions resolve within 90 days of closing and the units are re-leased at renovated rents. The cost sits inside the 1.50% Year-1 bad debt allowance.</t>
  </si>
  <si>
    <t xml:space="preserve">Unit 4017-C carries a lease rent of $821.03 against a $1,250 market rent and is on notice. Is that a concession, an employee unit, a subsidy, or a partial-month proration?</t>
  </si>
  <si>
    <t xml:space="preserve">A proration or one-off concession rather than a genuine below-market lease. Modelled at market rent on turn.</t>
  </si>
  <si>
    <t xml:space="preserve">Medium</t>
  </si>
  <si>
    <t xml:space="preserve">Please provide 24 months of leasing traffic, tour-to-lease conversion, renewal rate, average renewal increase achieved, and the ILS source report.</t>
  </si>
  <si>
    <t xml:space="preserve">Renewal rate of 55-60%, producing roughly 55-60 natural turns a year. This is what makes a 5-unit-per-month renovation pace achievable without forcing residents out.</t>
  </si>
  <si>
    <t xml:space="preserve">Which units are on month-to-month tenancies and what is being charged? The OM cites a $100/month month-to-month fee that the T-12 does not separately disclose.</t>
  </si>
  <si>
    <t xml:space="preserve">A small number of month-to-month units; the premium income sits inside miscellaneous other income.</t>
  </si>
  <si>
    <t xml:space="preserve">Low</t>
  </si>
  <si>
    <t xml:space="preserve">Units 4005-D, 4029-F, 4013-A, 4017-E and 4034-E show a lease-from date but no lease-to date. Are these expired leases holding over?</t>
  </si>
  <si>
    <t xml:space="preserve">Holdover on month-to-month, re-leased at market rent when renovated.</t>
  </si>
  <si>
    <t xml:space="preserve">Please confirm there are no affordable, Section 8, HAP, LIHTC or other regulatory restrictions on any unit.</t>
  </si>
  <si>
    <t xml:space="preserve">The property is entirely market rate with no restrictions.</t>
  </si>
  <si>
    <t xml:space="preserve">2. WASHER / DRYER INVENTORY — THE LARGEST DATA CONFLICT IN THE PACKAGE</t>
  </si>
  <si>
    <t xml:space="preserve">Washer / Dryer Inventory — the largest data conflict in the package</t>
  </si>
  <si>
    <t xml:space="preserve">Please confirm, unit by unit, which units contain a washer and dryer, which have hookups only, and which have neither. The OM states that 78 of 118 units have a full-size or stackable washer/dryer, then lists only 53 side-by-side plus 1 stackable, and its own floor-plan and building-mix schedules foot to 54.</t>
  </si>
  <si>
    <t xml:space="preserve">The rent roll governs per the case data hierarchy: 53 units have machines (Rhone 15, Roman 4, Cabernet 4, Brunswick 30) and 65 require both hookups and machines at $5,000 each. Every 10 units of error moves the capital budget by $50,000.</t>
  </si>
  <si>
    <t xml:space="preserve">For the 65 units without laundry, please provide plumbing and electrical capacity confirmation: panel amperage, riser and stack capacity, and whether a dedicated 240V circuit and a drain can be run inside the $5,000 allowance.</t>
  </si>
  <si>
    <t xml:space="preserve">The $5,000 per unit prescribed by the case covers hookups plus machines with no panel or riser upgrade required. A riser or panel constraint would be a material change.</t>
  </si>
  <si>
    <t xml:space="preserve">The OM states the Verdun 2-bed / 2-bath layout supports adding machines in the bedroom closet. Has an architect or general contractor confirmed this for all 25 Verdun units, and does it reduce the closet below any code or marketing minimum?</t>
  </si>
  <si>
    <t xml:space="preserve">All 25 Verdun units accommodate stacked machines without losing a required closet. CBRE's own forecast assumes the same.</t>
  </si>
  <si>
    <t xml:space="preserve">The OM identifies unit 4017-D as a Bordeaux with stackable machines at a $1,307 market rent, but the rent roll shows all 25 Bordeaux units at $1,260 in a single unit type. Which is correct?</t>
  </si>
  <si>
    <t xml:space="preserve">The rent roll governs, so 4017-D is underwritten as needing the $5,000 addition. Conservative by $5,000.</t>
  </si>
  <si>
    <t xml:space="preserve">What was the previous washer/dryer rental programme, why was it discontinued, and are there surviving vendor contracts or leased equipment on site?</t>
  </si>
  <si>
    <t xml:space="preserve">No surviving equipment lease. The 15 laundry centres are owned and can be repurposed or removed once in-unit laundry is universal.</t>
  </si>
  <si>
    <t xml:space="preserve">Once every unit has in-unit laundry, is there a use or conversion opportunity for the 15 laundry centres (3 per building)?</t>
  </si>
  <si>
    <t xml:space="preserve">No value underwritten. Any storage or unit conversion would be incremental upside.</t>
  </si>
  <si>
    <t xml:space="preserve">3. RENOVATION SCOPE, COST &amp; RENT PREMIUM</t>
  </si>
  <si>
    <t xml:space="preserve">Renovation Scope, Cost &amp; Rent Premium</t>
  </si>
  <si>
    <t xml:space="preserve">Please provide the scope, unit-level cost detail and before/after rents for the 2006 rehabilitation of 116 units, and identify the two units never rehabbed.</t>
  </si>
  <si>
    <t xml:space="preserve">The 2006 scope was cabinets, counters and flooring. Those components are now 20 years old, which is why every unit reads as classic against today's market. The two un-rehabbed units require full scope.</t>
  </si>
  <si>
    <t xml:space="preserve">Have any units been renovated to a current standard in the last three years? If so, what premium was achieved, over what lease-up period, and at what cost?</t>
  </si>
  <si>
    <t xml:space="preserve">No recent renovations, so there is no in-place proof of premium. This is the single largest unproven assumption in the model and the reason premium is sensitised from $125 to $190 per month.</t>
  </si>
  <si>
    <t xml:space="preserve">Please provide two or three general contractor bids on our scope for a representative Abbey, Verdun and Brunswick unit, inclusive of the washer/dryer addition.</t>
  </si>
  <si>
    <t xml:space="preserve">$13,000 per unit interior plus $5,000 for the laundry addition, a $15,754 blended cost. A $2,000 per unit miss is $236,000 of capital.</t>
  </si>
  <si>
    <t xml:space="preserve">What is realistic turn time from vacate to rent-ready under our scope, and can the site sustain five units a month with the current team?</t>
  </si>
  <si>
    <t xml:space="preserve">14 days of incremental downtime beyond a normal turn. We fund a second maintenance technician in payroll.</t>
  </si>
  <si>
    <t xml:space="preserve">Are there asbestos, lead paint or mould surveys? A 1974 building rehabbed in 2006 may have regulated materials behind cabinets and in flooring mastic.</t>
  </si>
  <si>
    <t xml:space="preserve">No abatement beyond what the 8% contingency absorbs. A material finding would change the programme cost and pace.</t>
  </si>
  <si>
    <t xml:space="preserve">Do the units have individual electrical panels sized for modern appliance loads, and is there capacity for in-unit laundry plus upgraded lighting?</t>
  </si>
  <si>
    <t xml:space="preserve">Cutler-Hammer breaker boxes with adequate capacity, per the OM systems schedule.</t>
  </si>
  <si>
    <t xml:space="preserve">4. PHYSICAL CONDITION &amp; CAPITAL REQUIREMENTS</t>
  </si>
  <si>
    <t xml:space="preserve">Physical Condition &amp; Capital Requirements</t>
  </si>
  <si>
    <t xml:space="preserve">Please provide the most recent property condition assessment, all roof inspection reports, and the roof warranty documentation for the 2020 and 2024 replacements.</t>
  </si>
  <si>
    <t xml:space="preserve">3.5 of the 5 rubber roofs are original and require replacement at roughly $103,000 each. Underwritten at $360,000 phased over Years 2-4. Building 4 cost $90,000 in 2020 and half of Building 5 cost $54,507 in 2024.</t>
  </si>
  <si>
    <t xml:space="preserve">The OM identifies 37 below-grade units with patio drains and 4 sump pumps needed. Is there any history of water intrusion, insurance claims, mould remediation or resident complaints in those units?</t>
  </si>
  <si>
    <t xml:space="preserve">No systemic intrusion; $40,000 resolves the drains and pumps. A systemic finding would be a material adverse item and would change the recommendation.</t>
  </si>
  <si>
    <t xml:space="preserve">What is the remaining useful life of the central gas water heaters and the 8 individual electric units? The T-12 shows $29,053 of water heater replacement in just two months.</t>
  </si>
  <si>
    <t xml:space="preserve">Ongoing replacement runs through the $300 per unit replacement reserve. A full central plant replacement is not underwritten.</t>
  </si>
  <si>
    <t xml:space="preserve">Please provide a unit-level inventory with the age and condition of the individual gas furnaces and condensing units.</t>
  </si>
  <si>
    <t xml:space="preserve">Staggered ages with replacement funded through the reserve; $3,946 of HVAC replacement appears in the T-12.</t>
  </si>
  <si>
    <t xml:space="preserve">Windows and sliding patio doors are original aluminium sliders. Please provide any quote for full replacement against the current practice of replacing fogged glass on turns.</t>
  </si>
  <si>
    <t xml:space="preserve">Glass replacement on turns at $150,000 across three years, not full window replacement.</t>
  </si>
  <si>
    <t xml:space="preserve">Please provide the paving assessment and any quote for the parking and carport areas, plus the warranties on the 2022 pool deck and the 2020 Hardie siding and gutter work.</t>
  </si>
  <si>
    <t xml:space="preserve">$150,000 for patch, sealcoat and stripe. The envelope and pool deck require no capital during the hold.</t>
  </si>
  <si>
    <t xml:space="preserve">Is the property fully separately metered for electricity, and are there master-metered obligations beyond gas and water/sewer?</t>
  </si>
  <si>
    <t xml:space="preserve">Electricity is individually metered and resident-paid, per the OM utility schedule.</t>
  </si>
  <si>
    <t xml:space="preserve">Please provide the elevator, boiler, fire suppression and life-safety inspection certificates, and the status of the building entry systems the OM flags for upgrade.</t>
  </si>
  <si>
    <t xml:space="preserve">All current. $60,000 underwritten for entry system upgrades across the 20 building entries.</t>
  </si>
  <si>
    <t xml:space="preserve">5. FINANCIAL STATEMENTS &amp; OPERATIONS</t>
  </si>
  <si>
    <t xml:space="preserve">Financial Statements &amp; Operations</t>
  </si>
  <si>
    <t xml:space="preserve">Please provide 24 months of monthly general ledger detail, monthly bank statements, and an accounts receivable ageing by unit.</t>
  </si>
  <si>
    <t xml:space="preserve">The T-12 provided is complete and accrual-accurate. The AR ageing supports the 1.50% Year-1 bad debt allowance.</t>
  </si>
  <si>
    <t xml:space="preserve">Bad debt: $28,229 was written off against $19,050 collected over the T-12, and January 2026 alone was $5,670. Please explain the trend and describe the current collections process.</t>
  </si>
  <si>
    <t xml:space="preserve">Deterioration is driven by the four evictions in process and normalises as the resident profile improves post-renovation. Underwritten at 1.50% falling to 1.00% of gross potential rent.</t>
  </si>
  <si>
    <t xml:space="preserve">General and administrative expense carries $17,528 of legal and $14,730 of tax and audit fees concentrated in December 2025 and January 2026. Are these transaction costs that should be excluded from a run-rate?</t>
  </si>
  <si>
    <t xml:space="preserve">Sale-related and non-recurring. Underwritten at $50,000 against $62,887 in the T-12 and CBRE's $42,209 forecast.</t>
  </si>
  <si>
    <t xml:space="preserve">Please provide the Comcast bulk internet contract: the 7-year term, the escalator, the stabilised per-unit cost, and confirmation of the $49 resident charge and its billing mechanics.</t>
  </si>
  <si>
    <t xml:space="preserve">$27.95 per unit per month stabilised, escalating 3%, billed to residents at $49. The T-12 captures only $11,068 of a ramping contract against $39,577 stabilised — understating this line is the easiest way to overstate NOI on this deal.</t>
  </si>
  <si>
    <t xml:space="preserve">Please provide the valet trash contract, its start date, per-unit cost and term, and confirm what share of residents are currently being charged the $25.</t>
  </si>
  <si>
    <t xml:space="preserve">The property begins paying the contractor in January 2026 and the charge is recoverable from all residents on renewal. Ramped at 75% in Year 1 to 100% by Year 3.</t>
  </si>
  <si>
    <t xml:space="preserve">What portion of the T-12 'Utility Fees' line of $97,812 is water and sewer recovery versus valet trash, and what is the actual recovery ratio on water and sewer usage?</t>
  </si>
  <si>
    <t xml:space="preserve">85% water and sewer recovery with valet trash charged separately, consistent with CBRE's own restatement. Historical recovery has ranged from 78% to 128%.</t>
  </si>
  <si>
    <t xml:space="preserve">Please provide the payroll register and benefits detail by position, and confirm which costs are reimbursed by the manager versus paid directly.</t>
  </si>
  <si>
    <t xml:space="preserve">$235,000 in Year 1 for a manager, part-time leasing consultant, maintenance supervisor and one technician, growing 3.5%.</t>
  </si>
  <si>
    <t xml:space="preserve">Is the current property management agreement assumable, and what is the fee and any termination cost?</t>
  </si>
  <si>
    <t xml:space="preserve">Terminable at closing. 4.0% of effective gross revenue going forward against an effective 3.5% in the T-12.</t>
  </si>
  <si>
    <t xml:space="preserve">Please provide the ResMan chart of accounts and confirm the accrual policy for real estate taxes; the October 2025 entry of $17,958 appears to be a catch-up.</t>
  </si>
  <si>
    <t xml:space="preserve">An accrual true-up rather than a rate change. Year-1 taxes underwritten at $140,000.</t>
  </si>
  <si>
    <t xml:space="preserve">Storage: only 5 of 23 units are rented at $15-20. Is there a reason demand is so low, and is $25 achievable?</t>
  </si>
  <si>
    <t xml:space="preserve">No structural constraint. Underwritten at 12 units rented at $25, or $3,600 a year against $141 actual.</t>
  </si>
  <si>
    <t xml:space="preserve">The carport income of $16,197 implies roughly 54 of 74 carports rented at $25. What drives the vacancy, and is $35-40 achievable post-renovation?</t>
  </si>
  <si>
    <t xml:space="preserve">Held at the T-12 actual with no rate increase underwritten. Any increase is upside.</t>
  </si>
  <si>
    <t xml:space="preserve">6. REAL ESTATE TAXES — THE LARGEST EXPENSE JUDGEMENT</t>
  </si>
  <si>
    <t xml:space="preserve">Real Estate Taxes — the largest expense judgement</t>
  </si>
  <si>
    <t xml:space="preserve">Please provide the last three Form 11A reassessment notices, the current tax bills, and any pending appeal or settlement.</t>
  </si>
  <si>
    <t xml:space="preserve">The 2025 assessed value of $5,547,800 and the 2.539% rate are correct and no appeal is pending.</t>
  </si>
  <si>
    <t xml:space="preserve">Has the seller obtained guidance from the Marion County Assessor on how a sale at this price will be treated, given that Indiana values apartments at the lowest of the income, market and cost approaches?</t>
  </si>
  <si>
    <t xml:space="preserve">The income approach governs, so assessed value tracks NOI rather than the sale price. Taxes are stepped from $140,000 in Year 1 to $210,000 in Year 5, roughly 10% a year. If assessed value instead moved to the 69% of sale price the OM's own comp study shows, the tax bill would rise about $110,000 a year and cost roughly $1.6mm of value.</t>
  </si>
  <si>
    <t xml:space="preserve">Please confirm the SB-1 deduction schedule as it applies to this parcel, and the referendum rate applicable in taxing district 800.</t>
  </si>
  <si>
    <t xml:space="preserve">CBRE's SB-1 forecast is correct: a 6% assessed value deduction for taxes payable 2026 rising to 33.4% by 2031, taxed at the lower of the actual rate or the 2% cap plus referendum.</t>
  </si>
  <si>
    <t xml:space="preserve">What is the storm water fee and is it assessed separately from the real estate tax bill?</t>
  </si>
  <si>
    <t xml:space="preserve">$2,966 in 2026 growing 5% a year, included inside the tax line.</t>
  </si>
  <si>
    <t xml:space="preserve">Are there personal property taxes, and does the SB-1 personal property deduction eliminate the $4,110 assessed in 2025?</t>
  </si>
  <si>
    <t xml:space="preserve">Eliminated under the $1mm deduction for taxes payable 2026. Nothing underwritten.</t>
  </si>
  <si>
    <t xml:space="preserve">7. INSURANCE &amp; RISK</t>
  </si>
  <si>
    <t xml:space="preserve">Insurance &amp; Risk</t>
  </si>
  <si>
    <t xml:space="preserve">Please provide five years of loss runs, the current policy with limits and deductibles, and the most recent insurance appraisal or replacement-cost estimate.</t>
  </si>
  <si>
    <t xml:space="preserve">No material loss history. $95,000 in Year 1 ($805 per unit) growing 5%, against $94,611 in the T-12 and CBRE's $88,326 forecast.</t>
  </si>
  <si>
    <t xml:space="preserve">Are there open or threatened claims, habitability complaints, fair housing matters, code violations or litigation involving the property or its management?</t>
  </si>
  <si>
    <t xml:space="preserve">None. No litigation reserve is underwritten.</t>
  </si>
  <si>
    <t xml:space="preserve">Please confirm the flood determination. The OM cites Zone X on panel 18097C0151G, but 37 units are below grade.</t>
  </si>
  <si>
    <t xml:space="preserve">Zone X confirmed and no flood insurance required. The below-grade units are a drainage matter, not a flood zone matter.</t>
  </si>
  <si>
    <t xml:space="preserve">Please provide any environmental site assessment (Phase I, and Phase II if one exists), including any underground storage tank history.</t>
  </si>
  <si>
    <t xml:space="preserve">Clean Phase I with no recognised environmental conditions.</t>
  </si>
  <si>
    <t xml:space="preserve">8. MARKET, COMPARABLES &amp; THE RENT THESIS</t>
  </si>
  <si>
    <t xml:space="preserve">Market, Comparables &amp; the Rent Thesis</t>
  </si>
  <si>
    <t xml:space="preserve">Please provide the underlying shop reports for the nine rent comparables, including concessions offered, renovation status, and in-unit laundry availability at each.</t>
  </si>
  <si>
    <t xml:space="preserve">Comp rents are net of concessions and the renovated comps include in-unit laundry, which is what makes renovated rents of $1,250-$1,725 supportable.</t>
  </si>
  <si>
    <t xml:space="preserve">Avalon Lake is the same 1974 vintage nearby and achieves $1,178 / $1,655 / $1,834 for one, two and three bedrooms. What explains a two-bedroom gap of roughly $400 to Chateau, and how much of it is interior condition versus location or amenity?</t>
  </si>
  <si>
    <t xml:space="preserve">The gap is predominantly interior condition and in-unit laundry, which is exactly what our capital addresses. This single assumption carries the business plan.</t>
  </si>
  <si>
    <t xml:space="preserve">What new supply is under construction or permitted within three miles, and on what delivery schedule?</t>
  </si>
  <si>
    <t xml:space="preserve">No material Class B/C competitive supply. Northside Indianapolis deliveries are Class A at rents well above our renovated levels.</t>
  </si>
  <si>
    <t xml:space="preserve">What are current market concessions in the submarket for renovated 1970s product?</t>
  </si>
  <si>
    <t xml:space="preserve">Two to four weeks free on new leases, inside the 0.50-0.75% concession allowance.</t>
  </si>
  <si>
    <t xml:space="preserve">Please provide any third-party market study, and current submarket occupancy, absorption and rent growth data.</t>
  </si>
  <si>
    <t xml:space="preserve">Stable submarket occupancy in the low-90s supporting a 5.0% stabilised vacancy assumption and 3.0% annual market rent growth.</t>
  </si>
  <si>
    <t xml:space="preserve">9. TITLE, LEGAL, ZONING &amp; CONTRACTS</t>
  </si>
  <si>
    <t xml:space="preserve">Title, Legal, Zoning &amp; Contracts</t>
  </si>
  <si>
    <t xml:space="preserve">Please provide the title commitment, ALTA survey, a zoning verification letter for the D-1 designation with confirmation of legal non-conforming status if applicable, and all certificates of occupancy.</t>
  </si>
  <si>
    <t xml:space="preserve">Clean title with no adverse easements, and the existing density of 12.55 units per acre on 9.40 acres is either permitted or a legal non-conforming use.</t>
  </si>
  <si>
    <t xml:space="preserve">Please confirm the 8 units converted from storage are properly permitted with certificates of occupancy, and that the proposed Building 4042 storage conversion would be permittable.</t>
  </si>
  <si>
    <t xml:space="preserve">The 8 converted units are legal and permitted. The 4042 conversion is upside and is not underwritten.</t>
  </si>
  <si>
    <t xml:space="preserve">Please provide all service contracts with terms, notice periods and termination rights: landscaping, pest control, valet trash, trash hauling, laundry, security and fire, pool, and internet.</t>
  </si>
  <si>
    <t xml:space="preserve">All are terminable at or shortly after closing except the 7-year bulk internet contract, which is assumed and underwritten.</t>
  </si>
  <si>
    <t xml:space="preserve">Please confirm no existing debt is being assumed and that the property is delivered free and clear, per the OM offering terms.</t>
  </si>
  <si>
    <t xml:space="preserve">Free and clear. New financing at 65% loan-to-cost, constrained by an 8.0% minimum debt yield.</t>
  </si>
  <si>
    <t xml:space="preserve">Are there any tenant-in-common, ground lease, easement, reciprocal access or shared-facility arrangements?</t>
  </si>
  <si>
    <t xml:space="preserve">None. Fee simple ownership of the entire 9.40-acre parcel.</t>
  </si>
  <si>
    <t xml:space="preserve">10. ITEMS WE WOULD PRICE RATHER THAN ASSUME</t>
  </si>
  <si>
    <t xml:space="preserve">Items we would price rather than assume</t>
  </si>
  <si>
    <t xml:space="preserve">What will the seller accept, and is guidance still the 6.9% Year-1 cap rate on CBRE's $980,838 Acquisition Forecast — roughly $14.2mm?</t>
  </si>
  <si>
    <t xml:space="preserve">$14.2mm is the ask. On our underwriting that produces a 6.7% levered IRR and a 1.35x multiple over five years, which is why the recommendation is conditional on basis rather than on the business plan. Our bid is $12.25mm with a hard walk at $13.0mm.</t>
  </si>
  <si>
    <t xml:space="preserve">Would the seller entertain a structure that shares the reassessment risk — a tax escrow, or a purchase price adjustment tied to the first post-closing Form 11A?</t>
  </si>
  <si>
    <t xml:space="preserve">No structure available, so the buyer takes reassessment risk. This is why taxes are underwritten at roughly 10% annual growth.</t>
  </si>
  <si>
    <t xml:space="preserve">Would the seller fund or credit the identified immediate needs — the 4 sump pumps, the patio drains and the asphalt work?</t>
  </si>
  <si>
    <t xml:space="preserve">No credit given; the full $190,000 sits in our Year-1 capital budget.</t>
  </si>
  <si>
    <t xml:space="preserve">Is the seller willing to give an earn-out or holdback against the 4 evictions and 8 notice units being delivered vacant or current?</t>
  </si>
  <si>
    <t xml:space="preserve">No holdback; the cost sits inside the Year-1 bad debt and vacancy allowance.</t>
  </si>
  <si>
    <t xml:space="preserve">What is the required diligence period and closing timeline, and what earnest money structure is expected?</t>
  </si>
  <si>
    <t xml:space="preserve">A 60-day diligence period and 30-day close, with earnest money going hard at the end of diligence.</t>
  </si>
  <si>
    <t xml:space="preserve">62 questions. 'High' priority items are those where a different answer changes the underwriting or the recommendation.</t>
  </si>
</sst>
</file>

<file path=xl/styles.xml><?xml version="1.0" encoding="utf-8"?>
<styleSheet xmlns="http://schemas.openxmlformats.org/spreadsheetml/2006/main">
  <numFmts count="12">
    <numFmt numFmtId="164" formatCode="General"/>
    <numFmt numFmtId="165" formatCode="\$#,##0;&quot;($&quot;#,##0\);\-"/>
    <numFmt numFmtId="166" formatCode="\$#,##0.00;&quot;($&quot;#,##0.00\);\-"/>
    <numFmt numFmtId="167" formatCode="0.0%;\(0.0%\);\-"/>
    <numFmt numFmtId="168" formatCode="mmm\-yyyy"/>
    <numFmt numFmtId="169" formatCode="#,##0;\(#,##0\);\-"/>
    <numFmt numFmtId="170" formatCode="0.00%;\(0.00%\);\-"/>
    <numFmt numFmtId="171" formatCode="0"/>
    <numFmt numFmtId="172" formatCode="0.00\x"/>
    <numFmt numFmtId="173" formatCode="mmm\-yy"/>
    <numFmt numFmtId="174" formatCode="#,##0.0;\(#,##0.0\);\-"/>
    <numFmt numFmtId="175" formatCode="0.0000"/>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404040"/>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sz val="10"/>
      <color rgb="FF0000FF"/>
      <name val="Arial"/>
      <family val="0"/>
      <charset val="1"/>
    </font>
    <font>
      <sz val="9"/>
      <color rgb="FF595959"/>
      <name val="Arial"/>
      <family val="0"/>
      <charset val="1"/>
    </font>
    <font>
      <sz val="10"/>
      <color rgb="FF008000"/>
      <name val="Arial"/>
      <family val="0"/>
      <charset val="1"/>
    </font>
    <font>
      <b val="true"/>
      <sz val="10"/>
      <color rgb="FF008000"/>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D9E1F2"/>
        <bgColor rgb="FFF2F2F2"/>
      </patternFill>
    </fill>
    <fill>
      <patternFill patternType="solid">
        <fgColor rgb="FFFFFF00"/>
        <bgColor rgb="FFFFFF00"/>
      </patternFill>
    </fill>
    <fill>
      <patternFill patternType="solid">
        <fgColor rgb="FFF2F2F2"/>
        <bgColor rgb="FFFFFFFF"/>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404040"/>
      </top>
      <bottom/>
      <diagonal/>
    </border>
    <border diagonalUp="false" diagonalDown="false">
      <left/>
      <right/>
      <top style="thin">
        <color rgb="FF404040"/>
      </top>
      <bottom style="double">
        <color rgb="FF40404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4"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6" fontId="9" fillId="0" borderId="0" xfId="0" applyFont="true" applyBorder="false" applyAlignment="true" applyProtection="false">
      <alignment horizontal="center" vertical="center" textRotation="0" wrapText="false" indent="0" shrinkToFit="false"/>
      <protection locked="true" hidden="false"/>
    </xf>
    <xf numFmtId="167" fontId="10" fillId="0" borderId="0" xfId="0" applyFont="true" applyBorder="false" applyAlignment="true" applyProtection="false">
      <alignment horizontal="center" vertical="center" textRotation="0" wrapText="false" indent="0" shrinkToFit="false"/>
      <protection locked="true" hidden="false"/>
    </xf>
    <xf numFmtId="168" fontId="10" fillId="0" borderId="0" xfId="0" applyFont="true" applyBorder="false" applyAlignment="true" applyProtection="false">
      <alignment horizontal="center" vertical="center" textRotation="0" wrapText="false" indent="0" shrinkToFit="false"/>
      <protection locked="true" hidden="false"/>
    </xf>
    <xf numFmtId="169" fontId="10" fillId="0" borderId="0" xfId="0" applyFont="true" applyBorder="false" applyAlignment="true" applyProtection="false">
      <alignment horizontal="center" vertical="center" textRotation="0" wrapText="false" indent="0" shrinkToFit="false"/>
      <protection locked="true" hidden="false"/>
    </xf>
    <xf numFmtId="170" fontId="10" fillId="4" borderId="0" xfId="0" applyFont="true" applyBorder="false" applyAlignment="true" applyProtection="false">
      <alignment horizontal="center" vertical="center" textRotation="0" wrapText="false" indent="0" shrinkToFit="false"/>
      <protection locked="true" hidden="false"/>
    </xf>
    <xf numFmtId="170" fontId="12" fillId="0" borderId="0" xfId="0" applyFont="true" applyBorder="false" applyAlignment="true" applyProtection="false">
      <alignment horizontal="center" vertical="center" textRotation="0" wrapText="false" indent="0" shrinkToFit="false"/>
      <protection locked="true" hidden="false"/>
    </xf>
    <xf numFmtId="169" fontId="9" fillId="0" borderId="0" xfId="0" applyFont="true" applyBorder="false" applyAlignment="true" applyProtection="false">
      <alignment horizontal="center" vertical="center" textRotation="0" wrapText="false" indent="0" shrinkToFit="false"/>
      <protection locked="true" hidden="false"/>
    </xf>
    <xf numFmtId="171" fontId="10" fillId="0" borderId="0" xfId="0" applyFont="true" applyBorder="false" applyAlignment="true" applyProtection="false">
      <alignment horizontal="center" vertical="center" textRotation="0" wrapText="false" indent="0" shrinkToFit="false"/>
      <protection locked="true" hidden="false"/>
    </xf>
    <xf numFmtId="167" fontId="9" fillId="0"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true" applyProtection="false">
      <alignment horizontal="center" vertical="center" textRotation="0" wrapText="false" indent="0" shrinkToFit="false"/>
      <protection locked="true" hidden="false"/>
    </xf>
    <xf numFmtId="165" fontId="10" fillId="0" borderId="0" xfId="0" applyFont="true" applyBorder="false" applyAlignment="true" applyProtection="false">
      <alignment horizontal="center" vertical="center" textRotation="0" wrapText="false" indent="0" shrinkToFit="false"/>
      <protection locked="true" hidden="false"/>
    </xf>
    <xf numFmtId="169" fontId="10" fillId="4" borderId="0" xfId="0" applyFont="true" applyBorder="false" applyAlignment="true" applyProtection="false">
      <alignment horizontal="center" vertical="center" textRotation="0" wrapText="false" indent="0" shrinkToFit="false"/>
      <protection locked="true" hidden="false"/>
    </xf>
    <xf numFmtId="164" fontId="8" fillId="3" borderId="0" xfId="0" applyFont="true" applyBorder="false" applyAlignment="true" applyProtection="false">
      <alignment horizontal="center" vertical="center" textRotation="0" wrapText="false" indent="0" shrinkToFit="false"/>
      <protection locked="true" hidden="false"/>
    </xf>
    <xf numFmtId="167" fontId="10" fillId="4" borderId="0" xfId="0" applyFont="true" applyBorder="false" applyAlignment="true" applyProtection="false">
      <alignment horizontal="center" vertical="center" textRotation="0" wrapText="false" indent="0" shrinkToFit="false"/>
      <protection locked="true" hidden="false"/>
    </xf>
    <xf numFmtId="172" fontId="10" fillId="0" borderId="0" xfId="0" applyFont="true" applyBorder="fals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9" fontId="8"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9" fontId="8" fillId="5" borderId="2" xfId="0" applyFont="true" applyBorder="true" applyAlignment="false" applyProtection="false">
      <alignment horizontal="general" vertical="bottom" textRotation="0" wrapText="false" indent="0" shrinkToFit="false"/>
      <protection locked="true" hidden="false"/>
    </xf>
    <xf numFmtId="167" fontId="8" fillId="5" borderId="2" xfId="0" applyFont="true" applyBorder="true" applyAlignment="false" applyProtection="false">
      <alignment horizontal="general" vertical="bottom" textRotation="0" wrapText="false" indent="0" shrinkToFit="false"/>
      <protection locked="true" hidden="false"/>
    </xf>
    <xf numFmtId="165" fontId="8" fillId="5" borderId="2" xfId="0" applyFont="true" applyBorder="true" applyAlignment="false" applyProtection="false">
      <alignment horizontal="general" vertical="bottom" textRotation="0" wrapText="false" indent="0" shrinkToFit="false"/>
      <protection locked="true" hidden="false"/>
    </xf>
    <xf numFmtId="166" fontId="8" fillId="5" borderId="2"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5" fontId="13" fillId="0" borderId="2" xfId="0" applyFont="true" applyBorder="true" applyAlignment="false" applyProtection="false">
      <alignment horizontal="general" vertical="bottom" textRotation="0" wrapText="false" indent="0" shrinkToFit="false"/>
      <protection locked="true" hidden="false"/>
    </xf>
    <xf numFmtId="167" fontId="8" fillId="0" borderId="2"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5" fontId="8" fillId="0" borderId="3" xfId="0" applyFont="true" applyBorder="true" applyAlignment="false" applyProtection="false">
      <alignment horizontal="general" vertical="bottom" textRotation="0" wrapText="false" indent="0" shrinkToFit="false"/>
      <protection locked="true" hidden="false"/>
    </xf>
    <xf numFmtId="165" fontId="13" fillId="0" borderId="3" xfId="0" applyFont="true" applyBorder="true" applyAlignment="false" applyProtection="false">
      <alignment horizontal="general" vertical="bottom" textRotation="0" wrapText="false" indent="0" shrinkToFit="false"/>
      <protection locked="true" hidden="false"/>
    </xf>
    <xf numFmtId="167" fontId="8" fillId="0" borderId="3"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74" fontId="9" fillId="0" borderId="0" xfId="0" applyFont="true" applyBorder="false" applyAlignment="true" applyProtection="false">
      <alignment horizontal="center" vertical="center"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4" fontId="8" fillId="0" borderId="2" xfId="0" applyFont="true" applyBorder="true" applyAlignment="fals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center" vertical="center" textRotation="0" wrapText="false" indent="0" shrinkToFit="false"/>
      <protection locked="true" hidden="false"/>
    </xf>
    <xf numFmtId="164" fontId="8" fillId="3" borderId="0" xfId="0" applyFont="true" applyBorder="false" applyAlignment="true" applyProtection="false">
      <alignment horizontal="left" vertical="top" textRotation="0" wrapText="true" indent="0" shrinkToFit="false"/>
      <protection locked="true" hidden="false"/>
    </xf>
    <xf numFmtId="173" fontId="6" fillId="0" borderId="0" xfId="0" applyFont="true" applyBorder="false" applyAlignment="true" applyProtection="false">
      <alignment horizontal="center" vertical="center"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xf numFmtId="174"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8" fillId="5" borderId="3" xfId="0" applyFont="true" applyBorder="true" applyAlignment="false" applyProtection="false">
      <alignment horizontal="general" vertical="bottom" textRotation="0" wrapText="false" indent="0" shrinkToFit="false"/>
      <protection locked="true" hidden="false"/>
    </xf>
    <xf numFmtId="164" fontId="11" fillId="0" borderId="3" xfId="0" applyFont="true" applyBorder="true" applyAlignment="true" applyProtection="false">
      <alignment horizontal="left" vertical="top" textRotation="0" wrapText="true" indent="0" shrinkToFit="false"/>
      <protection locked="true" hidden="false"/>
    </xf>
    <xf numFmtId="165" fontId="8" fillId="5" borderId="3" xfId="0" applyFont="true" applyBorder="true" applyAlignment="false" applyProtection="false">
      <alignment horizontal="general" vertical="bottom" textRotation="0" wrapText="false" indent="0" shrinkToFit="false"/>
      <protection locked="true" hidden="false"/>
    </xf>
    <xf numFmtId="164" fontId="8" fillId="4" borderId="3" xfId="0" applyFont="true" applyBorder="true" applyAlignment="false" applyProtection="false">
      <alignment horizontal="general" vertical="bottom" textRotation="0" wrapText="false" indent="0" shrinkToFit="false"/>
      <protection locked="true" hidden="false"/>
    </xf>
    <xf numFmtId="165" fontId="8" fillId="4" borderId="3"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65" fontId="8" fillId="5"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67" fontId="8" fillId="4"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center" vertical="center"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7" fontId="8" fillId="4" borderId="2" xfId="0" applyFont="true" applyBorder="true" applyAlignment="false" applyProtection="false">
      <alignment horizontal="general" vertical="bottom" textRotation="0" wrapText="false" indent="0" shrinkToFit="false"/>
      <protection locked="true" hidden="false"/>
    </xf>
    <xf numFmtId="172" fontId="8" fillId="0" borderId="2" xfId="0" applyFont="true" applyBorder="true" applyAlignment="false" applyProtection="false">
      <alignment horizontal="general" vertical="bottom" textRotation="0" wrapText="false" indent="0" shrinkToFit="false"/>
      <protection locked="true" hidden="false"/>
    </xf>
    <xf numFmtId="167" fontId="8" fillId="4" borderId="3" xfId="0" applyFont="true" applyBorder="true" applyAlignment="false" applyProtection="false">
      <alignment horizontal="general" vertical="bottom" textRotation="0" wrapText="false" indent="0" shrinkToFit="false"/>
      <protection locked="true" hidden="false"/>
    </xf>
    <xf numFmtId="172" fontId="8" fillId="4" borderId="3" xfId="0" applyFont="true" applyBorder="true" applyAlignment="fals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center" vertical="center"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7" fontId="8" fillId="4" borderId="1" xfId="0" applyFont="true" applyBorder="true" applyAlignment="true" applyProtection="false">
      <alignment horizontal="center" vertical="center" textRotation="0" wrapText="false" indent="0" shrinkToFit="false"/>
      <protection locked="true" hidden="false"/>
    </xf>
    <xf numFmtId="172" fontId="9" fillId="0" borderId="1" xfId="0" applyFont="tru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08"/>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row>
    <row r="6" customFormat="false" ht="30" hidden="false" customHeight="true" outlineLevel="0" collapsed="false">
      <c r="A6" s="5" t="s">
        <v>4</v>
      </c>
      <c r="B6" s="6" t="s">
        <v>5</v>
      </c>
    </row>
    <row r="7" customFormat="false" ht="30" hidden="false" customHeight="true" outlineLevel="0" collapsed="false">
      <c r="A7" s="5" t="s">
        <v>6</v>
      </c>
      <c r="B7" s="6" t="s">
        <v>7</v>
      </c>
    </row>
    <row r="8" customFormat="false" ht="30" hidden="false" customHeight="true" outlineLevel="0" collapsed="false">
      <c r="A8" s="5" t="s">
        <v>8</v>
      </c>
      <c r="B8" s="6" t="s">
        <v>9</v>
      </c>
    </row>
    <row r="9" customFormat="false" ht="30" hidden="false" customHeight="true" outlineLevel="0" collapsed="false">
      <c r="A9" s="5" t="s">
        <v>10</v>
      </c>
      <c r="B9" s="6" t="s">
        <v>11</v>
      </c>
    </row>
    <row r="10" customFormat="false" ht="30" hidden="false" customHeight="true" outlineLevel="0" collapsed="false">
      <c r="A10" s="5" t="s">
        <v>12</v>
      </c>
      <c r="B10" s="6" t="s">
        <v>13</v>
      </c>
    </row>
    <row r="12" customFormat="false" ht="15" hidden="false" customHeight="false" outlineLevel="0" collapsed="false">
      <c r="A12" s="4" t="s">
        <v>14</v>
      </c>
      <c r="B12" s="4"/>
    </row>
    <row r="13" customFormat="false" ht="15" hidden="false" customHeight="false" outlineLevel="0" collapsed="false">
      <c r="A13" s="5" t="s">
        <v>15</v>
      </c>
      <c r="B13" s="6" t="s">
        <v>16</v>
      </c>
    </row>
    <row r="14" customFormat="false" ht="15" hidden="false" customHeight="false" outlineLevel="0" collapsed="false">
      <c r="A14" s="5" t="s">
        <v>17</v>
      </c>
      <c r="B14" s="6" t="s">
        <v>18</v>
      </c>
    </row>
    <row r="15" customFormat="false" ht="15" hidden="false" customHeight="false" outlineLevel="0" collapsed="false">
      <c r="A15" s="5" t="s">
        <v>19</v>
      </c>
      <c r="B15" s="6" t="s">
        <v>20</v>
      </c>
    </row>
    <row r="16" customFormat="false" ht="15" hidden="false" customHeight="false" outlineLevel="0" collapsed="false">
      <c r="A16" s="5" t="s">
        <v>21</v>
      </c>
      <c r="B16" s="6" t="s">
        <v>22</v>
      </c>
    </row>
    <row r="17" customFormat="false" ht="15" hidden="false" customHeight="false" outlineLevel="0" collapsed="false">
      <c r="A17" s="5" t="s">
        <v>23</v>
      </c>
      <c r="B17" s="6" t="s">
        <v>24</v>
      </c>
    </row>
    <row r="18" customFormat="false" ht="15" hidden="false" customHeight="false" outlineLevel="0" collapsed="false">
      <c r="A18" s="5" t="s">
        <v>25</v>
      </c>
      <c r="B18" s="6" t="s">
        <v>26</v>
      </c>
    </row>
    <row r="19" customFormat="false" ht="15" hidden="false" customHeight="false" outlineLevel="0" collapsed="false">
      <c r="A19" s="5" t="s">
        <v>27</v>
      </c>
      <c r="B19" s="6" t="s">
        <v>28</v>
      </c>
    </row>
    <row r="20" customFormat="false" ht="15" hidden="false" customHeight="false" outlineLevel="0" collapsed="false">
      <c r="A20" s="5" t="s">
        <v>29</v>
      </c>
      <c r="B20" s="6" t="s">
        <v>30</v>
      </c>
    </row>
    <row r="21" customFormat="false" ht="15" hidden="false" customHeight="false" outlineLevel="0" collapsed="false">
      <c r="A21" s="5" t="s">
        <v>31</v>
      </c>
      <c r="B21" s="6" t="s">
        <v>32</v>
      </c>
    </row>
    <row r="22" customFormat="false" ht="15" hidden="false" customHeight="false" outlineLevel="0" collapsed="false">
      <c r="A22" s="5" t="s">
        <v>33</v>
      </c>
      <c r="B22" s="6" t="s">
        <v>34</v>
      </c>
    </row>
    <row r="23" customFormat="false" ht="15" hidden="false" customHeight="false" outlineLevel="0" collapsed="false">
      <c r="A23" s="5" t="s">
        <v>35</v>
      </c>
      <c r="B23" s="6" t="s">
        <v>36</v>
      </c>
    </row>
    <row r="25" customFormat="false" ht="15" hidden="false" customHeight="false" outlineLevel="0" collapsed="false">
      <c r="A25" s="4" t="s">
        <v>37</v>
      </c>
      <c r="B25" s="4"/>
    </row>
    <row r="26" customFormat="false" ht="15" hidden="false" customHeight="false" outlineLevel="0" collapsed="false">
      <c r="A26" s="7" t="s">
        <v>38</v>
      </c>
      <c r="B26" s="7" t="s">
        <v>39</v>
      </c>
    </row>
    <row r="27" customFormat="false" ht="45.75" hidden="false" customHeight="true" outlineLevel="0" collapsed="false">
      <c r="A27" s="8" t="s">
        <v>40</v>
      </c>
      <c r="B27" s="6" t="s">
        <v>41</v>
      </c>
    </row>
    <row r="28" customFormat="false" ht="45.75" hidden="false" customHeight="true" outlineLevel="0" collapsed="false">
      <c r="A28" s="8" t="s">
        <v>42</v>
      </c>
      <c r="B28" s="6" t="s">
        <v>43</v>
      </c>
    </row>
    <row r="29" customFormat="false" ht="45.75" hidden="false" customHeight="true" outlineLevel="0" collapsed="false">
      <c r="A29" s="8" t="s">
        <v>44</v>
      </c>
      <c r="B29" s="6" t="s">
        <v>45</v>
      </c>
    </row>
    <row r="30" customFormat="false" ht="45.75" hidden="false" customHeight="true" outlineLevel="0" collapsed="false">
      <c r="A30" s="8" t="s">
        <v>46</v>
      </c>
      <c r="B30" s="6" t="s">
        <v>47</v>
      </c>
    </row>
    <row r="31" customFormat="false" ht="45.75" hidden="false" customHeight="true" outlineLevel="0" collapsed="false">
      <c r="A31" s="8" t="s">
        <v>48</v>
      </c>
      <c r="B31" s="6" t="s">
        <v>49</v>
      </c>
    </row>
    <row r="32" customFormat="false" ht="45.75" hidden="false" customHeight="true" outlineLevel="0" collapsed="false">
      <c r="A32" s="8" t="s">
        <v>50</v>
      </c>
      <c r="B32" s="6" t="s">
        <v>51</v>
      </c>
    </row>
    <row r="33" customFormat="false" ht="45.75" hidden="false" customHeight="true" outlineLevel="0" collapsed="false">
      <c r="A33" s="8" t="s">
        <v>52</v>
      </c>
      <c r="B33" s="6" t="s">
        <v>53</v>
      </c>
    </row>
    <row r="34" customFormat="false" ht="45.75" hidden="false" customHeight="true" outlineLevel="0" collapsed="false">
      <c r="A34" s="8" t="s">
        <v>54</v>
      </c>
      <c r="B34" s="6" t="s">
        <v>55</v>
      </c>
    </row>
    <row r="35" customFormat="false" ht="45.75" hidden="false" customHeight="true" outlineLevel="0" collapsed="false">
      <c r="A35" s="8" t="s">
        <v>56</v>
      </c>
      <c r="B35" s="6" t="s">
        <v>57</v>
      </c>
    </row>
    <row r="36" customFormat="false" ht="45.75" hidden="false" customHeight="true" outlineLevel="0" collapsed="false">
      <c r="A36" s="8" t="s">
        <v>58</v>
      </c>
      <c r="B36" s="6" t="s">
        <v>59</v>
      </c>
    </row>
    <row r="37" customFormat="false" ht="45.75" hidden="false" customHeight="true" outlineLevel="0" collapsed="false">
      <c r="A37" s="8" t="s">
        <v>60</v>
      </c>
      <c r="B37" s="6" t="s">
        <v>61</v>
      </c>
    </row>
    <row r="39" customFormat="false" ht="15" hidden="false" customHeight="false" outlineLevel="0" collapsed="false">
      <c r="A39" s="4" t="s">
        <v>62</v>
      </c>
      <c r="B39" s="4"/>
    </row>
    <row r="40" customFormat="false" ht="45.75" hidden="false" customHeight="true" outlineLevel="0" collapsed="false">
      <c r="A40" s="5" t="s">
        <v>63</v>
      </c>
      <c r="B40" s="6" t="s">
        <v>64</v>
      </c>
    </row>
    <row r="41" customFormat="false" ht="45.75" hidden="false" customHeight="true" outlineLevel="0" collapsed="false">
      <c r="A41" s="5" t="s">
        <v>65</v>
      </c>
      <c r="B41" s="6" t="s">
        <v>66</v>
      </c>
    </row>
    <row r="42" customFormat="false" ht="45.75" hidden="false" customHeight="true" outlineLevel="0" collapsed="false">
      <c r="A42" s="5" t="s">
        <v>67</v>
      </c>
      <c r="B42" s="6" t="s">
        <v>68</v>
      </c>
    </row>
    <row r="43" customFormat="false" ht="45.75" hidden="false" customHeight="true" outlineLevel="0" collapsed="false">
      <c r="A43" s="5" t="s">
        <v>69</v>
      </c>
      <c r="B43" s="6" t="s">
        <v>70</v>
      </c>
    </row>
    <row r="44" customFormat="false" ht="45.75" hidden="false" customHeight="true" outlineLevel="0" collapsed="false">
      <c r="A44" s="5" t="s">
        <v>71</v>
      </c>
      <c r="B44" s="6" t="s">
        <v>72</v>
      </c>
    </row>
  </sheetData>
  <mergeCells count="4">
    <mergeCell ref="A5:B5"/>
    <mergeCell ref="A12:B12"/>
    <mergeCell ref="A25:B25"/>
    <mergeCell ref="A39:B39"/>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7" min="3" style="0" width="12"/>
    <col collapsed="false" customWidth="true" hidden="false" outlineLevel="0" max="8" min="8" style="0" width="62"/>
  </cols>
  <sheetData>
    <row r="1" customFormat="false" ht="17.35" hidden="false" customHeight="false" outlineLevel="0" collapsed="false">
      <c r="A1" s="1" t="s">
        <v>0</v>
      </c>
    </row>
    <row r="2" customFormat="false" ht="15" hidden="false" customHeight="false" outlineLevel="0" collapsed="false">
      <c r="A2" s="2" t="s">
        <v>73</v>
      </c>
    </row>
    <row r="3" customFormat="false" ht="15" hidden="false" customHeight="false" outlineLevel="0" collapsed="false">
      <c r="A3" s="3" t="s">
        <v>2</v>
      </c>
    </row>
    <row r="5" customFormat="false" ht="15" hidden="false" customHeight="false" outlineLevel="0" collapsed="false">
      <c r="A5" s="4" t="s">
        <v>74</v>
      </c>
      <c r="B5" s="4"/>
      <c r="C5" s="4"/>
      <c r="D5" s="4"/>
      <c r="E5" s="4"/>
      <c r="F5" s="4"/>
      <c r="G5" s="4"/>
      <c r="H5" s="4"/>
    </row>
    <row r="6" customFormat="false" ht="22.35" hidden="false" customHeight="false" outlineLevel="0" collapsed="false">
      <c r="A6" s="9" t="s">
        <v>75</v>
      </c>
      <c r="B6" s="10" t="n">
        <v>14200000</v>
      </c>
      <c r="H6" s="11" t="s">
        <v>76</v>
      </c>
    </row>
    <row r="7" customFormat="false" ht="15" hidden="false" customHeight="false" outlineLevel="0" collapsed="false">
      <c r="A7" s="9" t="s">
        <v>77</v>
      </c>
      <c r="B7" s="12" t="n">
        <f aca="false">Assumptions!$B$6/Assumptions!$B$17</f>
        <v>120338.983050847</v>
      </c>
    </row>
    <row r="8" customFormat="false" ht="15" hidden="false" customHeight="false" outlineLevel="0" collapsed="false">
      <c r="A8" s="9" t="s">
        <v>78</v>
      </c>
      <c r="B8" s="13" t="n">
        <f aca="false">Assumptions!$B$6/Assumptions!$B$18</f>
        <v>105.677564355404</v>
      </c>
    </row>
    <row r="9" customFormat="false" ht="15" hidden="false" customHeight="false" outlineLevel="0" collapsed="false">
      <c r="A9" s="9" t="s">
        <v>79</v>
      </c>
      <c r="B9" s="14" t="n">
        <v>0.015</v>
      </c>
      <c r="H9" s="11" t="s">
        <v>80</v>
      </c>
    </row>
    <row r="10" customFormat="false" ht="15" hidden="false" customHeight="false" outlineLevel="0" collapsed="false">
      <c r="A10" s="9" t="s">
        <v>81</v>
      </c>
      <c r="B10" s="15" t="s">
        <v>82</v>
      </c>
      <c r="H10" s="11" t="s">
        <v>83</v>
      </c>
    </row>
    <row r="11" customFormat="false" ht="15" hidden="false" customHeight="false" outlineLevel="0" collapsed="false">
      <c r="A11" s="9" t="s">
        <v>84</v>
      </c>
      <c r="B11" s="16" t="n">
        <v>5</v>
      </c>
    </row>
    <row r="12" customFormat="false" ht="22.35" hidden="false" customHeight="false" outlineLevel="0" collapsed="false">
      <c r="A12" s="9" t="s">
        <v>85</v>
      </c>
      <c r="B12" s="17" t="n">
        <v>0.0675</v>
      </c>
      <c r="H12" s="11" t="s">
        <v>86</v>
      </c>
    </row>
    <row r="13" customFormat="false" ht="15" hidden="false" customHeight="false" outlineLevel="0" collapsed="false">
      <c r="A13" s="9" t="s">
        <v>87</v>
      </c>
      <c r="B13" s="14" t="n">
        <v>0.015</v>
      </c>
    </row>
    <row r="14" customFormat="false" ht="22.35" hidden="false" customHeight="false" outlineLevel="0" collapsed="false">
      <c r="A14" s="9" t="s">
        <v>88</v>
      </c>
      <c r="B14" s="18" t="n">
        <f aca="false">'Annual Model'!C50/Assumptions!$B$6</f>
        <v>0.0617202580803058</v>
      </c>
      <c r="H14" s="11" t="s">
        <v>89</v>
      </c>
    </row>
    <row r="16" customFormat="false" ht="15" hidden="false" customHeight="false" outlineLevel="0" collapsed="false">
      <c r="A16" s="4" t="s">
        <v>90</v>
      </c>
      <c r="B16" s="4"/>
      <c r="C16" s="4"/>
      <c r="D16" s="4"/>
      <c r="E16" s="4"/>
      <c r="F16" s="4"/>
      <c r="G16" s="4"/>
      <c r="H16" s="4"/>
    </row>
    <row r="17" customFormat="false" ht="15" hidden="false" customHeight="false" outlineLevel="0" collapsed="false">
      <c r="A17" s="9" t="s">
        <v>91</v>
      </c>
      <c r="B17" s="16" t="n">
        <v>118</v>
      </c>
      <c r="H17" s="11" t="s">
        <v>92</v>
      </c>
    </row>
    <row r="18" customFormat="false" ht="15" hidden="false" customHeight="false" outlineLevel="0" collapsed="false">
      <c r="A18" s="9" t="s">
        <v>93</v>
      </c>
      <c r="B18" s="16" t="n">
        <v>134371</v>
      </c>
      <c r="H18" s="11" t="s">
        <v>94</v>
      </c>
    </row>
    <row r="19" customFormat="false" ht="15" hidden="false" customHeight="false" outlineLevel="0" collapsed="false">
      <c r="A19" s="9" t="s">
        <v>95</v>
      </c>
      <c r="B19" s="19" t="n">
        <f aca="false">Assumptions!$B$18/Assumptions!$B$17</f>
        <v>1138.73728813559</v>
      </c>
    </row>
    <row r="20" customFormat="false" ht="15" hidden="false" customHeight="false" outlineLevel="0" collapsed="false">
      <c r="A20" s="9" t="s">
        <v>96</v>
      </c>
      <c r="B20" s="20" t="n">
        <v>1974</v>
      </c>
      <c r="H20" s="11" t="s">
        <v>97</v>
      </c>
    </row>
    <row r="21" customFormat="false" ht="15" hidden="false" customHeight="false" outlineLevel="0" collapsed="false">
      <c r="A21" s="9" t="s">
        <v>98</v>
      </c>
      <c r="B21" s="16" t="n">
        <v>114</v>
      </c>
      <c r="H21" s="11" t="s">
        <v>99</v>
      </c>
    </row>
    <row r="22" customFormat="false" ht="15" hidden="false" customHeight="false" outlineLevel="0" collapsed="false">
      <c r="A22" s="9" t="s">
        <v>100</v>
      </c>
      <c r="B22" s="19" t="n">
        <f aca="false">Assumptions!$B$17-Assumptions!$B$21</f>
        <v>4</v>
      </c>
      <c r="H22" s="11" t="s">
        <v>101</v>
      </c>
    </row>
    <row r="23" customFormat="false" ht="15" hidden="false" customHeight="false" outlineLevel="0" collapsed="false">
      <c r="A23" s="9" t="s">
        <v>102</v>
      </c>
      <c r="B23" s="21" t="n">
        <f aca="false">Assumptions!$B$21/Assumptions!$B$17</f>
        <v>0.966101694915254</v>
      </c>
    </row>
    <row r="24" customFormat="false" ht="15" hidden="false" customHeight="false" outlineLevel="0" collapsed="false">
      <c r="A24" s="9" t="s">
        <v>103</v>
      </c>
      <c r="B24" s="22" t="n">
        <f aca="false">'Unit Mix'!$D$16</f>
        <v>153435</v>
      </c>
    </row>
    <row r="25" customFormat="false" ht="15" hidden="false" customHeight="false" outlineLevel="0" collapsed="false">
      <c r="A25" s="9" t="s">
        <v>104</v>
      </c>
      <c r="B25" s="23" t="n">
        <v>144804.03</v>
      </c>
      <c r="H25" s="11" t="s">
        <v>105</v>
      </c>
    </row>
    <row r="26" customFormat="false" ht="15" hidden="false" customHeight="false" outlineLevel="0" collapsed="false">
      <c r="A26" s="9" t="s">
        <v>106</v>
      </c>
      <c r="B26" s="21" t="n">
        <f aca="false">1-Assumptions!$B$25/(Assumptions!$B$24-'Unit Mix'!$D$20)</f>
        <v>0.0220239084185999</v>
      </c>
    </row>
    <row r="27" customFormat="false" ht="15" hidden="false" customHeight="false" outlineLevel="0" collapsed="false">
      <c r="A27" s="9" t="s">
        <v>107</v>
      </c>
      <c r="B27" s="16" t="n">
        <v>53</v>
      </c>
      <c r="H27" s="11" t="s">
        <v>108</v>
      </c>
    </row>
    <row r="28" customFormat="false" ht="15" hidden="false" customHeight="false" outlineLevel="0" collapsed="false">
      <c r="A28" s="9" t="s">
        <v>109</v>
      </c>
      <c r="B28" s="19" t="n">
        <f aca="false">Assumptions!$B$17-Assumptions!$B$27</f>
        <v>65</v>
      </c>
      <c r="H28" s="11" t="s">
        <v>110</v>
      </c>
    </row>
    <row r="30" customFormat="false" ht="15" hidden="false" customHeight="false" outlineLevel="0" collapsed="false">
      <c r="A30" s="4" t="s">
        <v>111</v>
      </c>
      <c r="B30" s="4"/>
      <c r="C30" s="4"/>
      <c r="D30" s="4"/>
      <c r="E30" s="4"/>
      <c r="F30" s="4"/>
      <c r="G30" s="4"/>
      <c r="H30" s="4"/>
    </row>
    <row r="31" customFormat="false" ht="15" hidden="false" customHeight="false" outlineLevel="0" collapsed="false">
      <c r="A31" s="9" t="s">
        <v>112</v>
      </c>
      <c r="B31" s="16" t="n">
        <v>3</v>
      </c>
      <c r="H31" s="11" t="s">
        <v>113</v>
      </c>
    </row>
    <row r="32" customFormat="false" ht="22.35" hidden="false" customHeight="false" outlineLevel="0" collapsed="false">
      <c r="A32" s="9" t="s">
        <v>114</v>
      </c>
      <c r="B32" s="24" t="n">
        <v>5</v>
      </c>
      <c r="H32" s="11" t="s">
        <v>115</v>
      </c>
    </row>
    <row r="33" customFormat="false" ht="22.35" hidden="false" customHeight="false" outlineLevel="0" collapsed="false">
      <c r="A33" s="9" t="s">
        <v>116</v>
      </c>
      <c r="B33" s="10" t="n">
        <v>13000</v>
      </c>
      <c r="H33" s="11" t="s">
        <v>117</v>
      </c>
    </row>
    <row r="34" customFormat="false" ht="15" hidden="false" customHeight="false" outlineLevel="0" collapsed="false">
      <c r="A34" s="9" t="s">
        <v>118</v>
      </c>
      <c r="B34" s="10" t="n">
        <v>5000</v>
      </c>
      <c r="H34" s="11" t="s">
        <v>119</v>
      </c>
    </row>
    <row r="35" customFormat="false" ht="15" hidden="false" customHeight="false" outlineLevel="0" collapsed="false">
      <c r="A35" s="9" t="s">
        <v>120</v>
      </c>
      <c r="B35" s="12" t="n">
        <f aca="false">(Assumptions!$B$27*Assumptions!$B$33+Assumptions!$B$28*(Assumptions!$B$33+Assumptions!$B$34))/Assumptions!$B$17</f>
        <v>15754.2372881356</v>
      </c>
    </row>
    <row r="36" customFormat="false" ht="15" hidden="false" customHeight="false" outlineLevel="0" collapsed="false">
      <c r="A36" s="9" t="s">
        <v>121</v>
      </c>
      <c r="B36" s="12" t="n">
        <f aca="false">Assumptions!$B$35*Assumptions!$B$17</f>
        <v>1859000</v>
      </c>
    </row>
    <row r="37" customFormat="false" ht="15" hidden="false" customHeight="false" outlineLevel="0" collapsed="false">
      <c r="A37" s="9" t="s">
        <v>122</v>
      </c>
      <c r="B37" s="10" t="n">
        <v>125</v>
      </c>
      <c r="H37" s="11" t="s">
        <v>123</v>
      </c>
    </row>
    <row r="38" customFormat="false" ht="22.35" hidden="false" customHeight="false" outlineLevel="0" collapsed="false">
      <c r="A38" s="9" t="s">
        <v>124</v>
      </c>
      <c r="B38" s="10" t="n">
        <v>75</v>
      </c>
      <c r="H38" s="11" t="s">
        <v>125</v>
      </c>
    </row>
    <row r="39" customFormat="false" ht="15" hidden="false" customHeight="false" outlineLevel="0" collapsed="false">
      <c r="A39" s="9" t="s">
        <v>126</v>
      </c>
      <c r="B39" s="12" t="n">
        <f aca="false">(Assumptions!$B$27*Assumptions!$B$37+Assumptions!$B$28*(Assumptions!$B$37+Assumptions!$B$38))/Assumptions!$B$17</f>
        <v>166.313559322034</v>
      </c>
    </row>
    <row r="40" customFormat="false" ht="15" hidden="false" customHeight="false" outlineLevel="0" collapsed="false">
      <c r="A40" s="9" t="s">
        <v>127</v>
      </c>
      <c r="B40" s="21" t="n">
        <f aca="false">Assumptions!$B$39*12/Assumptions!$B$35</f>
        <v>0.126681011296396</v>
      </c>
    </row>
    <row r="41" customFormat="false" ht="15" hidden="false" customHeight="false" outlineLevel="0" collapsed="false">
      <c r="A41" s="9" t="s">
        <v>128</v>
      </c>
      <c r="B41" s="16" t="n">
        <v>14</v>
      </c>
      <c r="H41" s="11" t="s">
        <v>129</v>
      </c>
    </row>
    <row r="42" customFormat="false" ht="15" hidden="false" customHeight="false" outlineLevel="0" collapsed="false">
      <c r="A42" s="9" t="s">
        <v>130</v>
      </c>
      <c r="B42" s="14" t="n">
        <v>0.08</v>
      </c>
    </row>
    <row r="44" customFormat="false" ht="15" hidden="false" customHeight="false" outlineLevel="0" collapsed="false">
      <c r="A44" s="4" t="s">
        <v>131</v>
      </c>
      <c r="B44" s="4"/>
      <c r="C44" s="4"/>
      <c r="D44" s="4"/>
      <c r="E44" s="4"/>
      <c r="F44" s="4"/>
      <c r="G44" s="4"/>
      <c r="H44" s="4"/>
    </row>
    <row r="45" customFormat="false" ht="15" hidden="false" customHeight="false" outlineLevel="0" collapsed="false">
      <c r="A45" s="5"/>
      <c r="C45" s="25" t="s">
        <v>132</v>
      </c>
      <c r="D45" s="25" t="s">
        <v>133</v>
      </c>
      <c r="E45" s="25" t="s">
        <v>134</v>
      </c>
      <c r="F45" s="25" t="s">
        <v>135</v>
      </c>
      <c r="G45" s="25" t="s">
        <v>136</v>
      </c>
    </row>
    <row r="46" customFormat="false" ht="15" hidden="false" customHeight="false" outlineLevel="0" collapsed="false">
      <c r="A46" s="9" t="s">
        <v>137</v>
      </c>
      <c r="C46" s="26" t="n">
        <v>0.03</v>
      </c>
      <c r="D46" s="26" t="n">
        <v>0.03</v>
      </c>
      <c r="E46" s="26" t="n">
        <v>0.03</v>
      </c>
      <c r="F46" s="26" t="n">
        <v>0.03</v>
      </c>
      <c r="G46" s="26" t="n">
        <v>0.03</v>
      </c>
      <c r="H46" s="11" t="s">
        <v>138</v>
      </c>
    </row>
    <row r="47" customFormat="false" ht="15" hidden="false" customHeight="false" outlineLevel="0" collapsed="false">
      <c r="A47" s="9" t="s">
        <v>139</v>
      </c>
      <c r="C47" s="14" t="n">
        <v>0.022</v>
      </c>
      <c r="D47" s="14" t="n">
        <v>0.02</v>
      </c>
      <c r="E47" s="14" t="n">
        <v>0.0175</v>
      </c>
      <c r="F47" s="14" t="n">
        <v>0.015</v>
      </c>
      <c r="G47" s="14" t="n">
        <v>0.015</v>
      </c>
      <c r="H47" s="11" t="s">
        <v>140</v>
      </c>
    </row>
    <row r="48" customFormat="false" ht="22.35" hidden="false" customHeight="false" outlineLevel="0" collapsed="false">
      <c r="A48" s="9" t="s">
        <v>141</v>
      </c>
      <c r="C48" s="14" t="n">
        <v>0.05</v>
      </c>
      <c r="D48" s="14" t="n">
        <v>0.05</v>
      </c>
      <c r="E48" s="14" t="n">
        <v>0.05</v>
      </c>
      <c r="F48" s="14" t="n">
        <v>0.05</v>
      </c>
      <c r="G48" s="14" t="n">
        <v>0.05</v>
      </c>
      <c r="H48" s="11" t="s">
        <v>142</v>
      </c>
    </row>
    <row r="49" customFormat="false" ht="15" hidden="false" customHeight="false" outlineLevel="0" collapsed="false">
      <c r="A49" s="9" t="s">
        <v>143</v>
      </c>
      <c r="C49" s="14" t="n">
        <v>0.0075</v>
      </c>
      <c r="D49" s="14" t="n">
        <v>0.0075</v>
      </c>
      <c r="E49" s="14" t="n">
        <v>0.005</v>
      </c>
      <c r="F49" s="14" t="n">
        <v>0.005</v>
      </c>
      <c r="G49" s="14" t="n">
        <v>0.005</v>
      </c>
      <c r="H49" s="11" t="s">
        <v>144</v>
      </c>
    </row>
    <row r="50" customFormat="false" ht="22.35" hidden="false" customHeight="false" outlineLevel="0" collapsed="false">
      <c r="A50" s="9" t="s">
        <v>145</v>
      </c>
      <c r="C50" s="26" t="n">
        <v>0.015</v>
      </c>
      <c r="D50" s="26" t="n">
        <v>0.0125</v>
      </c>
      <c r="E50" s="26" t="n">
        <v>0.0125</v>
      </c>
      <c r="F50" s="26" t="n">
        <v>0.01</v>
      </c>
      <c r="G50" s="26" t="n">
        <v>0.01</v>
      </c>
      <c r="H50" s="11" t="s">
        <v>146</v>
      </c>
    </row>
    <row r="51" customFormat="false" ht="15" hidden="false" customHeight="false" outlineLevel="0" collapsed="false">
      <c r="A51" s="9" t="s">
        <v>147</v>
      </c>
      <c r="C51" s="14" t="n">
        <v>0.03</v>
      </c>
      <c r="D51" s="14" t="n">
        <v>0.03</v>
      </c>
      <c r="E51" s="14" t="n">
        <v>0.03</v>
      </c>
      <c r="F51" s="14" t="n">
        <v>0.03</v>
      </c>
      <c r="G51" s="14" t="n">
        <v>0.03</v>
      </c>
    </row>
    <row r="53" customFormat="false" ht="15" hidden="false" customHeight="false" outlineLevel="0" collapsed="false">
      <c r="A53" s="4" t="s">
        <v>148</v>
      </c>
      <c r="B53" s="4"/>
      <c r="C53" s="4"/>
      <c r="D53" s="4"/>
      <c r="E53" s="4"/>
      <c r="F53" s="4"/>
      <c r="G53" s="4"/>
      <c r="H53" s="4"/>
    </row>
    <row r="54" customFormat="false" ht="15" hidden="false" customHeight="false" outlineLevel="0" collapsed="false">
      <c r="A54" s="5"/>
      <c r="B54" s="25" t="s">
        <v>149</v>
      </c>
      <c r="C54" s="25" t="s">
        <v>150</v>
      </c>
      <c r="H54" s="7" t="s">
        <v>151</v>
      </c>
    </row>
    <row r="55" customFormat="false" ht="22.35" hidden="false" customHeight="false" outlineLevel="0" collapsed="false">
      <c r="A55" s="9" t="s">
        <v>152</v>
      </c>
      <c r="B55" s="23" t="n">
        <v>235000</v>
      </c>
      <c r="C55" s="14" t="n">
        <v>0.035</v>
      </c>
      <c r="H55" s="11" t="s">
        <v>153</v>
      </c>
    </row>
    <row r="56" customFormat="false" ht="15" hidden="false" customHeight="false" outlineLevel="0" collapsed="false">
      <c r="A56" s="9" t="s">
        <v>154</v>
      </c>
      <c r="B56" s="14" t="n">
        <v>0.04</v>
      </c>
      <c r="H56" s="11" t="s">
        <v>155</v>
      </c>
    </row>
    <row r="57" customFormat="false" ht="15" hidden="false" customHeight="false" outlineLevel="0" collapsed="false">
      <c r="A57" s="9" t="s">
        <v>156</v>
      </c>
      <c r="B57" s="23" t="n">
        <v>28000</v>
      </c>
      <c r="C57" s="14" t="n">
        <v>0.03</v>
      </c>
      <c r="H57" s="11" t="s">
        <v>157</v>
      </c>
    </row>
    <row r="58" customFormat="false" ht="22.35" hidden="false" customHeight="false" outlineLevel="0" collapsed="false">
      <c r="A58" s="9" t="s">
        <v>158</v>
      </c>
      <c r="B58" s="23" t="n">
        <v>50000</v>
      </c>
      <c r="C58" s="14" t="n">
        <v>0.03</v>
      </c>
      <c r="H58" s="11" t="s">
        <v>159</v>
      </c>
    </row>
    <row r="59" customFormat="false" ht="22.35" hidden="false" customHeight="false" outlineLevel="0" collapsed="false">
      <c r="A59" s="9" t="s">
        <v>160</v>
      </c>
      <c r="B59" s="23" t="n">
        <v>39577</v>
      </c>
      <c r="C59" s="14" t="n">
        <v>0.03</v>
      </c>
      <c r="H59" s="11" t="s">
        <v>161</v>
      </c>
    </row>
    <row r="60" customFormat="false" ht="15" hidden="false" customHeight="false" outlineLevel="0" collapsed="false">
      <c r="A60" s="9" t="s">
        <v>162</v>
      </c>
      <c r="B60" s="23" t="n">
        <v>31000</v>
      </c>
      <c r="C60" s="14" t="n">
        <v>0.03</v>
      </c>
      <c r="H60" s="11" t="s">
        <v>163</v>
      </c>
    </row>
    <row r="61" customFormat="false" ht="15" hidden="false" customHeight="false" outlineLevel="0" collapsed="false">
      <c r="A61" s="9" t="s">
        <v>164</v>
      </c>
      <c r="B61" s="23" t="n">
        <v>16000</v>
      </c>
      <c r="C61" s="14" t="n">
        <v>0.03</v>
      </c>
      <c r="H61" s="11" t="s">
        <v>165</v>
      </c>
    </row>
    <row r="62" customFormat="false" ht="15" hidden="false" customHeight="false" outlineLevel="0" collapsed="false">
      <c r="A62" s="9" t="s">
        <v>166</v>
      </c>
      <c r="B62" s="23" t="n">
        <v>90000</v>
      </c>
      <c r="C62" s="14" t="n">
        <v>0.04</v>
      </c>
      <c r="H62" s="11" t="s">
        <v>167</v>
      </c>
    </row>
    <row r="63" customFormat="false" ht="22.35" hidden="false" customHeight="false" outlineLevel="0" collapsed="false">
      <c r="A63" s="9" t="s">
        <v>168</v>
      </c>
      <c r="B63" s="23" t="n">
        <v>255000</v>
      </c>
      <c r="C63" s="14" t="n">
        <v>0.03</v>
      </c>
      <c r="H63" s="11" t="s">
        <v>169</v>
      </c>
    </row>
    <row r="64" customFormat="false" ht="15" hidden="false" customHeight="false" outlineLevel="0" collapsed="false">
      <c r="A64" s="9" t="s">
        <v>52</v>
      </c>
      <c r="B64" s="23" t="n">
        <v>95000</v>
      </c>
      <c r="C64" s="14" t="n">
        <v>0.05</v>
      </c>
      <c r="H64" s="11" t="s">
        <v>170</v>
      </c>
    </row>
    <row r="65" customFormat="false" ht="15" hidden="false" customHeight="false" outlineLevel="0" collapsed="false">
      <c r="A65" s="5"/>
      <c r="C65" s="25" t="s">
        <v>132</v>
      </c>
      <c r="D65" s="25" t="s">
        <v>133</v>
      </c>
      <c r="E65" s="25" t="s">
        <v>134</v>
      </c>
      <c r="F65" s="25" t="s">
        <v>135</v>
      </c>
      <c r="G65" s="25" t="s">
        <v>136</v>
      </c>
    </row>
    <row r="66" customFormat="false" ht="32.8" hidden="false" customHeight="false" outlineLevel="0" collapsed="false">
      <c r="A66" s="9" t="s">
        <v>171</v>
      </c>
      <c r="C66" s="10" t="n">
        <v>140000</v>
      </c>
      <c r="D66" s="10" t="n">
        <v>170000</v>
      </c>
      <c r="E66" s="10" t="n">
        <v>190000</v>
      </c>
      <c r="F66" s="10" t="n">
        <v>200000</v>
      </c>
      <c r="G66" s="10" t="n">
        <v>210000</v>
      </c>
      <c r="H66" s="11" t="s">
        <v>172</v>
      </c>
    </row>
    <row r="67" customFormat="false" ht="15" hidden="false" customHeight="false" outlineLevel="0" collapsed="false">
      <c r="A67" s="9" t="s">
        <v>173</v>
      </c>
      <c r="B67" s="23" t="n">
        <v>300</v>
      </c>
      <c r="H67" s="11" t="s">
        <v>174</v>
      </c>
    </row>
    <row r="69" customFormat="false" ht="15" hidden="false" customHeight="false" outlineLevel="0" collapsed="false">
      <c r="A69" s="4" t="s">
        <v>175</v>
      </c>
      <c r="B69" s="4"/>
      <c r="C69" s="4"/>
      <c r="D69" s="4"/>
      <c r="E69" s="4"/>
      <c r="F69" s="4"/>
      <c r="G69" s="4"/>
      <c r="H69" s="4"/>
    </row>
    <row r="70" customFormat="false" ht="15" hidden="false" customHeight="false" outlineLevel="0" collapsed="false">
      <c r="A70" s="9" t="s">
        <v>176</v>
      </c>
      <c r="B70" s="26" t="n">
        <v>0.65</v>
      </c>
      <c r="H70" s="11" t="s">
        <v>177</v>
      </c>
    </row>
    <row r="71" customFormat="false" ht="15" hidden="false" customHeight="false" outlineLevel="0" collapsed="false">
      <c r="A71" s="9" t="s">
        <v>178</v>
      </c>
      <c r="B71" s="14" t="n">
        <v>0.08</v>
      </c>
      <c r="H71" s="11" t="s">
        <v>179</v>
      </c>
    </row>
    <row r="72" customFormat="false" ht="15" hidden="false" customHeight="false" outlineLevel="0" collapsed="false">
      <c r="A72" s="9" t="s">
        <v>180</v>
      </c>
      <c r="B72" s="27" t="n">
        <v>1.25</v>
      </c>
      <c r="H72" s="11" t="s">
        <v>181</v>
      </c>
    </row>
    <row r="73" customFormat="false" ht="15" hidden="false" customHeight="false" outlineLevel="0" collapsed="false">
      <c r="A73" s="9" t="s">
        <v>182</v>
      </c>
      <c r="B73" s="17" t="n">
        <v>0.0585</v>
      </c>
      <c r="H73" s="11" t="s">
        <v>183</v>
      </c>
    </row>
    <row r="74" customFormat="false" ht="15" hidden="false" customHeight="false" outlineLevel="0" collapsed="false">
      <c r="A74" s="9" t="s">
        <v>184</v>
      </c>
      <c r="B74" s="14" t="n">
        <v>0.01</v>
      </c>
    </row>
    <row r="75" customFormat="false" ht="15" hidden="false" customHeight="false" outlineLevel="0" collapsed="false">
      <c r="A75" s="9" t="s">
        <v>185</v>
      </c>
      <c r="B75" s="23" t="n">
        <v>100000</v>
      </c>
      <c r="H75" s="11" t="s">
        <v>186</v>
      </c>
    </row>
  </sheetData>
  <mergeCells count="6">
    <mergeCell ref="A5:H5"/>
    <mergeCell ref="A16:H16"/>
    <mergeCell ref="A30:H30"/>
    <mergeCell ref="A44:H44"/>
    <mergeCell ref="A53:H53"/>
    <mergeCell ref="A69:H69"/>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7"/>
    <col collapsed="false" customWidth="true" hidden="false" outlineLevel="0" max="4" min="4" style="0" width="8"/>
    <col collapsed="false" customWidth="true" hidden="false" outlineLevel="0" max="5" min="5" style="0" width="15"/>
    <col collapsed="false" customWidth="true" hidden="false" outlineLevel="0" max="6" min="6" style="0" width="11"/>
    <col collapsed="false" customWidth="true" hidden="false" outlineLevel="0" max="8" min="7" style="0" width="12"/>
    <col collapsed="false" customWidth="true" hidden="false" outlineLevel="0" max="11" min="9" style="0" width="11"/>
    <col collapsed="false" customWidth="true" hidden="false" outlineLevel="0" max="12" min="12" style="0" width="10"/>
    <col collapsed="false" customWidth="true" hidden="false" outlineLevel="0" max="13" min="13" style="0" width="12"/>
    <col collapsed="false" customWidth="true" hidden="false" outlineLevel="0" max="14" min="14" style="0" width="10"/>
    <col collapsed="false" customWidth="true" hidden="false" outlineLevel="0" max="15" min="15" style="0" width="12"/>
    <col collapsed="false" customWidth="true" hidden="false" outlineLevel="0" max="16" min="16" style="0" width="15"/>
  </cols>
  <sheetData>
    <row r="1" customFormat="false" ht="17.35" hidden="false" customHeight="false" outlineLevel="0" collapsed="false">
      <c r="A1" s="1" t="s">
        <v>0</v>
      </c>
    </row>
    <row r="2" customFormat="false" ht="15" hidden="false" customHeight="false" outlineLevel="0" collapsed="false">
      <c r="A2" s="2" t="s">
        <v>187</v>
      </c>
    </row>
    <row r="3" customFormat="false" ht="15" hidden="false" customHeight="false" outlineLevel="0" collapsed="false">
      <c r="A3" s="3" t="s">
        <v>2</v>
      </c>
    </row>
    <row r="5" customFormat="false" ht="30" hidden="false" customHeight="true" outlineLevel="0" collapsed="false">
      <c r="A5" s="28" t="s">
        <v>188</v>
      </c>
      <c r="B5" s="28" t="s">
        <v>189</v>
      </c>
      <c r="C5" s="28" t="s">
        <v>190</v>
      </c>
      <c r="D5" s="28" t="s">
        <v>191</v>
      </c>
      <c r="E5" s="28" t="s">
        <v>192</v>
      </c>
      <c r="F5" s="28" t="s">
        <v>193</v>
      </c>
      <c r="G5" s="28" t="s">
        <v>194</v>
      </c>
      <c r="H5" s="28" t="s">
        <v>195</v>
      </c>
      <c r="I5" s="28" t="s">
        <v>196</v>
      </c>
      <c r="J5" s="28" t="s">
        <v>197</v>
      </c>
      <c r="K5" s="28" t="s">
        <v>198</v>
      </c>
      <c r="L5" s="28" t="s">
        <v>199</v>
      </c>
      <c r="M5" s="28" t="s">
        <v>200</v>
      </c>
      <c r="N5" s="28" t="s">
        <v>201</v>
      </c>
      <c r="O5" s="28" t="s">
        <v>202</v>
      </c>
      <c r="P5" s="28" t="s">
        <v>203</v>
      </c>
    </row>
    <row r="6" customFormat="false" ht="15" hidden="false" customHeight="false" outlineLevel="0" collapsed="false">
      <c r="A6" s="9" t="s">
        <v>204</v>
      </c>
      <c r="B6" s="29" t="s">
        <v>205</v>
      </c>
      <c r="C6" s="9" t="s">
        <v>206</v>
      </c>
      <c r="D6" s="19" t="n">
        <v>712</v>
      </c>
      <c r="E6" s="9" t="s">
        <v>207</v>
      </c>
      <c r="F6" s="29" t="s">
        <v>208</v>
      </c>
      <c r="G6" s="30" t="n">
        <v>1125</v>
      </c>
      <c r="H6" s="30" t="n">
        <v>1109</v>
      </c>
      <c r="I6" s="30" t="n">
        <f aca="false">IF(F6="Vacant",0,H6-G6)</f>
        <v>-16</v>
      </c>
      <c r="J6" s="31" t="n">
        <v>45590</v>
      </c>
      <c r="K6" s="31" t="n">
        <v>46319</v>
      </c>
      <c r="L6" s="29" t="s">
        <v>209</v>
      </c>
      <c r="M6" s="32" t="n">
        <f aca="false">Assumptions!$B$33</f>
        <v>13000</v>
      </c>
      <c r="N6" s="30" t="n">
        <f aca="false">IF(L6="No",Assumptions!$B$34,0)</f>
        <v>0</v>
      </c>
      <c r="O6" s="30" t="n">
        <f aca="false">M6+N6</f>
        <v>13000</v>
      </c>
      <c r="P6" s="30" t="n">
        <f aca="false">G6+Assumptions!$B$37+IF(L6="No",Assumptions!$B$38,0)</f>
        <v>1250</v>
      </c>
    </row>
    <row r="7" customFormat="false" ht="15" hidden="false" customHeight="false" outlineLevel="0" collapsed="false">
      <c r="A7" s="9" t="s">
        <v>210</v>
      </c>
      <c r="B7" s="29" t="s">
        <v>205</v>
      </c>
      <c r="C7" s="9" t="s">
        <v>206</v>
      </c>
      <c r="D7" s="19" t="n">
        <v>712</v>
      </c>
      <c r="E7" s="9" t="s">
        <v>207</v>
      </c>
      <c r="F7" s="29" t="s">
        <v>208</v>
      </c>
      <c r="G7" s="30" t="n">
        <v>1125</v>
      </c>
      <c r="H7" s="30" t="n">
        <v>1094</v>
      </c>
      <c r="I7" s="30" t="n">
        <f aca="false">IF(F7="Vacant",0,H7-G7)</f>
        <v>-31</v>
      </c>
      <c r="J7" s="31" t="n">
        <v>44638</v>
      </c>
      <c r="K7" s="31" t="n">
        <v>46463</v>
      </c>
      <c r="L7" s="29" t="s">
        <v>209</v>
      </c>
      <c r="M7" s="32" t="n">
        <f aca="false">Assumptions!$B$33</f>
        <v>13000</v>
      </c>
      <c r="N7" s="30" t="n">
        <f aca="false">IF(L7="No",Assumptions!$B$34,0)</f>
        <v>0</v>
      </c>
      <c r="O7" s="30" t="n">
        <f aca="false">M7+N7</f>
        <v>13000</v>
      </c>
      <c r="P7" s="30" t="n">
        <f aca="false">G7+Assumptions!$B$37+IF(L7="No",Assumptions!$B$38,0)</f>
        <v>1250</v>
      </c>
    </row>
    <row r="8" customFormat="false" ht="15" hidden="false" customHeight="false" outlineLevel="0" collapsed="false">
      <c r="A8" s="9" t="s">
        <v>211</v>
      </c>
      <c r="B8" s="29" t="s">
        <v>205</v>
      </c>
      <c r="C8" s="9" t="s">
        <v>206</v>
      </c>
      <c r="D8" s="19" t="n">
        <v>712</v>
      </c>
      <c r="E8" s="9" t="s">
        <v>207</v>
      </c>
      <c r="F8" s="29" t="s">
        <v>208</v>
      </c>
      <c r="G8" s="30" t="n">
        <v>1125</v>
      </c>
      <c r="H8" s="30" t="n">
        <v>1109</v>
      </c>
      <c r="I8" s="30" t="n">
        <f aca="false">IF(F8="Vacant",0,H8-G8)</f>
        <v>-16</v>
      </c>
      <c r="J8" s="31" t="n">
        <v>46173</v>
      </c>
      <c r="K8" s="31" t="n">
        <v>46568</v>
      </c>
      <c r="L8" s="29" t="s">
        <v>209</v>
      </c>
      <c r="M8" s="32" t="n">
        <f aca="false">Assumptions!$B$33</f>
        <v>13000</v>
      </c>
      <c r="N8" s="30" t="n">
        <f aca="false">IF(L8="No",Assumptions!$B$34,0)</f>
        <v>0</v>
      </c>
      <c r="O8" s="30" t="n">
        <f aca="false">M8+N8</f>
        <v>13000</v>
      </c>
      <c r="P8" s="30" t="n">
        <f aca="false">G8+Assumptions!$B$37+IF(L8="No",Assumptions!$B$38,0)</f>
        <v>1250</v>
      </c>
    </row>
    <row r="9" customFormat="false" ht="15" hidden="false" customHeight="false" outlineLevel="0" collapsed="false">
      <c r="A9" s="9" t="s">
        <v>212</v>
      </c>
      <c r="B9" s="29" t="s">
        <v>205</v>
      </c>
      <c r="C9" s="9" t="s">
        <v>213</v>
      </c>
      <c r="D9" s="19" t="n">
        <v>712</v>
      </c>
      <c r="E9" s="9" t="s">
        <v>207</v>
      </c>
      <c r="F9" s="29" t="s">
        <v>208</v>
      </c>
      <c r="G9" s="30" t="n">
        <v>1050</v>
      </c>
      <c r="H9" s="30" t="n">
        <v>1044</v>
      </c>
      <c r="I9" s="30" t="n">
        <f aca="false">IF(F9="Vacant",0,H9-G9)</f>
        <v>-6</v>
      </c>
      <c r="J9" s="31" t="n">
        <v>46142</v>
      </c>
      <c r="K9" s="31" t="n">
        <v>46536</v>
      </c>
      <c r="L9" s="29" t="s">
        <v>214</v>
      </c>
      <c r="M9" s="32" t="n">
        <f aca="false">Assumptions!$B$33</f>
        <v>13000</v>
      </c>
      <c r="N9" s="30" t="n">
        <f aca="false">IF(L9="No",Assumptions!$B$34,0)</f>
        <v>5000</v>
      </c>
      <c r="O9" s="30" t="n">
        <f aca="false">M9+N9</f>
        <v>18000</v>
      </c>
      <c r="P9" s="30" t="n">
        <f aca="false">G9+Assumptions!$B$37+IF(L9="No",Assumptions!$B$38,0)</f>
        <v>1250</v>
      </c>
    </row>
    <row r="10" customFormat="false" ht="15" hidden="false" customHeight="false" outlineLevel="0" collapsed="false">
      <c r="A10" s="9" t="s">
        <v>215</v>
      </c>
      <c r="B10" s="29" t="s">
        <v>205</v>
      </c>
      <c r="C10" s="9" t="s">
        <v>213</v>
      </c>
      <c r="D10" s="19" t="n">
        <v>712</v>
      </c>
      <c r="E10" s="9" t="s">
        <v>207</v>
      </c>
      <c r="F10" s="29" t="s">
        <v>208</v>
      </c>
      <c r="G10" s="30" t="n">
        <v>1050</v>
      </c>
      <c r="H10" s="30" t="n">
        <v>1063</v>
      </c>
      <c r="I10" s="30" t="n">
        <f aca="false">IF(F10="Vacant",0,H10-G10)</f>
        <v>13</v>
      </c>
      <c r="J10" s="31" t="n">
        <v>45474</v>
      </c>
      <c r="K10" s="31" t="n">
        <v>46568</v>
      </c>
      <c r="L10" s="29" t="s">
        <v>214</v>
      </c>
      <c r="M10" s="32" t="n">
        <f aca="false">Assumptions!$B$33</f>
        <v>13000</v>
      </c>
      <c r="N10" s="30" t="n">
        <f aca="false">IF(L10="No",Assumptions!$B$34,0)</f>
        <v>5000</v>
      </c>
      <c r="O10" s="30" t="n">
        <f aca="false">M10+N10</f>
        <v>18000</v>
      </c>
      <c r="P10" s="30" t="n">
        <f aca="false">G10+Assumptions!$B$37+IF(L10="No",Assumptions!$B$38,0)</f>
        <v>1250</v>
      </c>
    </row>
    <row r="11" customFormat="false" ht="15" hidden="false" customHeight="false" outlineLevel="0" collapsed="false">
      <c r="A11" s="9" t="s">
        <v>216</v>
      </c>
      <c r="B11" s="29" t="s">
        <v>205</v>
      </c>
      <c r="C11" s="9" t="s">
        <v>213</v>
      </c>
      <c r="D11" s="19" t="n">
        <v>712</v>
      </c>
      <c r="E11" s="9" t="s">
        <v>207</v>
      </c>
      <c r="F11" s="29" t="s">
        <v>208</v>
      </c>
      <c r="G11" s="30" t="n">
        <v>1050</v>
      </c>
      <c r="H11" s="30" t="n">
        <v>1058</v>
      </c>
      <c r="I11" s="30" t="n">
        <f aca="false">IF(F11="Vacant",0,H11-G11)</f>
        <v>8</v>
      </c>
      <c r="J11" s="31" t="n">
        <v>45108</v>
      </c>
      <c r="K11" s="31" t="n">
        <v>46568</v>
      </c>
      <c r="L11" s="29" t="s">
        <v>214</v>
      </c>
      <c r="M11" s="32" t="n">
        <f aca="false">Assumptions!$B$33</f>
        <v>13000</v>
      </c>
      <c r="N11" s="30" t="n">
        <f aca="false">IF(L11="No",Assumptions!$B$34,0)</f>
        <v>5000</v>
      </c>
      <c r="O11" s="30" t="n">
        <f aca="false">M11+N11</f>
        <v>18000</v>
      </c>
      <c r="P11" s="30" t="n">
        <f aca="false">G11+Assumptions!$B$37+IF(L11="No",Assumptions!$B$38,0)</f>
        <v>1250</v>
      </c>
    </row>
    <row r="12" customFormat="false" ht="15" hidden="false" customHeight="false" outlineLevel="0" collapsed="false">
      <c r="A12" s="9" t="s">
        <v>217</v>
      </c>
      <c r="B12" s="29" t="s">
        <v>205</v>
      </c>
      <c r="C12" s="9" t="s">
        <v>213</v>
      </c>
      <c r="D12" s="19" t="n">
        <v>712</v>
      </c>
      <c r="E12" s="9" t="s">
        <v>207</v>
      </c>
      <c r="F12" s="29" t="s">
        <v>208</v>
      </c>
      <c r="G12" s="30" t="n">
        <v>1050</v>
      </c>
      <c r="H12" s="30" t="n">
        <v>994</v>
      </c>
      <c r="I12" s="30" t="n">
        <f aca="false">IF(F12="Vacant",0,H12-G12)</f>
        <v>-56</v>
      </c>
      <c r="J12" s="31" t="n">
        <v>45990</v>
      </c>
      <c r="K12" s="31" t="n">
        <v>46384</v>
      </c>
      <c r="L12" s="29" t="s">
        <v>214</v>
      </c>
      <c r="M12" s="32" t="n">
        <f aca="false">Assumptions!$B$33</f>
        <v>13000</v>
      </c>
      <c r="N12" s="30" t="n">
        <f aca="false">IF(L12="No",Assumptions!$B$34,0)</f>
        <v>5000</v>
      </c>
      <c r="O12" s="30" t="n">
        <f aca="false">M12+N12</f>
        <v>18000</v>
      </c>
      <c r="P12" s="30" t="n">
        <f aca="false">G12+Assumptions!$B$37+IF(L12="No",Assumptions!$B$38,0)</f>
        <v>1250</v>
      </c>
    </row>
    <row r="13" customFormat="false" ht="15" hidden="false" customHeight="false" outlineLevel="0" collapsed="false">
      <c r="A13" s="9" t="s">
        <v>218</v>
      </c>
      <c r="B13" s="29" t="s">
        <v>205</v>
      </c>
      <c r="C13" s="9" t="s">
        <v>213</v>
      </c>
      <c r="D13" s="19" t="n">
        <v>712</v>
      </c>
      <c r="E13" s="9" t="s">
        <v>207</v>
      </c>
      <c r="F13" s="29" t="s">
        <v>208</v>
      </c>
      <c r="G13" s="30" t="n">
        <v>1050</v>
      </c>
      <c r="H13" s="30" t="n">
        <v>1044</v>
      </c>
      <c r="I13" s="30" t="n">
        <f aca="false">IF(F13="Vacant",0,H13-G13)</f>
        <v>-6</v>
      </c>
      <c r="J13" s="31" t="n">
        <v>45590</v>
      </c>
      <c r="K13" s="31"/>
      <c r="L13" s="29" t="s">
        <v>214</v>
      </c>
      <c r="M13" s="32" t="n">
        <f aca="false">Assumptions!$B$33</f>
        <v>13000</v>
      </c>
      <c r="N13" s="30" t="n">
        <f aca="false">IF(L13="No",Assumptions!$B$34,0)</f>
        <v>5000</v>
      </c>
      <c r="O13" s="30" t="n">
        <f aca="false">M13+N13</f>
        <v>18000</v>
      </c>
      <c r="P13" s="30" t="n">
        <f aca="false">G13+Assumptions!$B$37+IF(L13="No",Assumptions!$B$38,0)</f>
        <v>1250</v>
      </c>
    </row>
    <row r="14" customFormat="false" ht="15" hidden="false" customHeight="false" outlineLevel="0" collapsed="false">
      <c r="A14" s="9" t="s">
        <v>219</v>
      </c>
      <c r="B14" s="29" t="s">
        <v>205</v>
      </c>
      <c r="C14" s="9" t="s">
        <v>213</v>
      </c>
      <c r="D14" s="19" t="n">
        <v>712</v>
      </c>
      <c r="E14" s="9" t="s">
        <v>207</v>
      </c>
      <c r="F14" s="29" t="s">
        <v>208</v>
      </c>
      <c r="G14" s="30" t="n">
        <v>1050</v>
      </c>
      <c r="H14" s="30" t="n">
        <v>1034</v>
      </c>
      <c r="I14" s="30" t="n">
        <f aca="false">IF(F14="Vacant",0,H14-G14)</f>
        <v>-16</v>
      </c>
      <c r="J14" s="31" t="n">
        <v>42644</v>
      </c>
      <c r="K14" s="31" t="n">
        <v>46295</v>
      </c>
      <c r="L14" s="29" t="s">
        <v>214</v>
      </c>
      <c r="M14" s="32" t="n">
        <f aca="false">Assumptions!$B$33</f>
        <v>13000</v>
      </c>
      <c r="N14" s="30" t="n">
        <f aca="false">IF(L14="No",Assumptions!$B$34,0)</f>
        <v>5000</v>
      </c>
      <c r="O14" s="30" t="n">
        <f aca="false">M14+N14</f>
        <v>18000</v>
      </c>
      <c r="P14" s="30" t="n">
        <f aca="false">G14+Assumptions!$B$37+IF(L14="No",Assumptions!$B$38,0)</f>
        <v>1250</v>
      </c>
    </row>
    <row r="15" customFormat="false" ht="15" hidden="false" customHeight="false" outlineLevel="0" collapsed="false">
      <c r="A15" s="9" t="s">
        <v>220</v>
      </c>
      <c r="B15" s="29" t="s">
        <v>205</v>
      </c>
      <c r="C15" s="9" t="s">
        <v>206</v>
      </c>
      <c r="D15" s="19" t="n">
        <v>712</v>
      </c>
      <c r="E15" s="9" t="s">
        <v>207</v>
      </c>
      <c r="F15" s="29" t="s">
        <v>208</v>
      </c>
      <c r="G15" s="30" t="n">
        <v>1125</v>
      </c>
      <c r="H15" s="30" t="n">
        <v>1109</v>
      </c>
      <c r="I15" s="30" t="n">
        <f aca="false">IF(F15="Vacant",0,H15-G15)</f>
        <v>-16</v>
      </c>
      <c r="J15" s="31" t="n">
        <v>44263</v>
      </c>
      <c r="K15" s="31" t="n">
        <v>46363</v>
      </c>
      <c r="L15" s="29" t="s">
        <v>209</v>
      </c>
      <c r="M15" s="32" t="n">
        <f aca="false">Assumptions!$B$33</f>
        <v>13000</v>
      </c>
      <c r="N15" s="30" t="n">
        <f aca="false">IF(L15="No",Assumptions!$B$34,0)</f>
        <v>0</v>
      </c>
      <c r="O15" s="30" t="n">
        <f aca="false">M15+N15</f>
        <v>13000</v>
      </c>
      <c r="P15" s="30" t="n">
        <f aca="false">G15+Assumptions!$B$37+IF(L15="No",Assumptions!$B$38,0)</f>
        <v>1250</v>
      </c>
    </row>
    <row r="16" customFormat="false" ht="15" hidden="false" customHeight="false" outlineLevel="0" collapsed="false">
      <c r="A16" s="9" t="s">
        <v>221</v>
      </c>
      <c r="B16" s="29" t="s">
        <v>205</v>
      </c>
      <c r="C16" s="9" t="s">
        <v>206</v>
      </c>
      <c r="D16" s="19" t="n">
        <v>712</v>
      </c>
      <c r="E16" s="9" t="s">
        <v>207</v>
      </c>
      <c r="F16" s="29" t="s">
        <v>208</v>
      </c>
      <c r="G16" s="30" t="n">
        <v>1125</v>
      </c>
      <c r="H16" s="30" t="n">
        <v>1094</v>
      </c>
      <c r="I16" s="30" t="n">
        <f aca="false">IF(F16="Vacant",0,H16-G16)</f>
        <v>-31</v>
      </c>
      <c r="J16" s="31" t="n">
        <v>43896</v>
      </c>
      <c r="K16" s="31" t="n">
        <v>46451</v>
      </c>
      <c r="L16" s="29" t="s">
        <v>209</v>
      </c>
      <c r="M16" s="32" t="n">
        <f aca="false">Assumptions!$B$33</f>
        <v>13000</v>
      </c>
      <c r="N16" s="30" t="n">
        <f aca="false">IF(L16="No",Assumptions!$B$34,0)</f>
        <v>0</v>
      </c>
      <c r="O16" s="30" t="n">
        <f aca="false">M16+N16</f>
        <v>13000</v>
      </c>
      <c r="P16" s="30" t="n">
        <f aca="false">G16+Assumptions!$B$37+IF(L16="No",Assumptions!$B$38,0)</f>
        <v>1250</v>
      </c>
    </row>
    <row r="17" customFormat="false" ht="15" hidden="false" customHeight="false" outlineLevel="0" collapsed="false">
      <c r="A17" s="9" t="s">
        <v>222</v>
      </c>
      <c r="B17" s="29" t="s">
        <v>205</v>
      </c>
      <c r="C17" s="9" t="s">
        <v>206</v>
      </c>
      <c r="D17" s="19" t="n">
        <v>712</v>
      </c>
      <c r="E17" s="9" t="s">
        <v>207</v>
      </c>
      <c r="F17" s="29" t="s">
        <v>208</v>
      </c>
      <c r="G17" s="30" t="n">
        <v>1125</v>
      </c>
      <c r="H17" s="30" t="n">
        <v>1099</v>
      </c>
      <c r="I17" s="30" t="n">
        <f aca="false">IF(F17="Vacant",0,H17-G17)</f>
        <v>-26</v>
      </c>
      <c r="J17" s="31" t="n">
        <v>45717</v>
      </c>
      <c r="K17" s="31" t="n">
        <v>46356</v>
      </c>
      <c r="L17" s="29" t="s">
        <v>209</v>
      </c>
      <c r="M17" s="32" t="n">
        <f aca="false">Assumptions!$B$33</f>
        <v>13000</v>
      </c>
      <c r="N17" s="30" t="n">
        <f aca="false">IF(L17="No",Assumptions!$B$34,0)</f>
        <v>0</v>
      </c>
      <c r="O17" s="30" t="n">
        <f aca="false">M17+N17</f>
        <v>13000</v>
      </c>
      <c r="P17" s="30" t="n">
        <f aca="false">G17+Assumptions!$B$37+IF(L17="No",Assumptions!$B$38,0)</f>
        <v>1250</v>
      </c>
    </row>
    <row r="18" customFormat="false" ht="15" hidden="false" customHeight="false" outlineLevel="0" collapsed="false">
      <c r="A18" s="9" t="s">
        <v>223</v>
      </c>
      <c r="B18" s="29" t="s">
        <v>205</v>
      </c>
      <c r="C18" s="9" t="s">
        <v>206</v>
      </c>
      <c r="D18" s="19" t="n">
        <v>712</v>
      </c>
      <c r="E18" s="9" t="s">
        <v>207</v>
      </c>
      <c r="F18" s="29" t="s">
        <v>208</v>
      </c>
      <c r="G18" s="30" t="n">
        <v>1125</v>
      </c>
      <c r="H18" s="30" t="n">
        <v>999</v>
      </c>
      <c r="I18" s="30" t="n">
        <f aca="false">IF(F18="Vacant",0,H18-G18)</f>
        <v>-126</v>
      </c>
      <c r="J18" s="31" t="n">
        <v>45991</v>
      </c>
      <c r="K18" s="31" t="n">
        <v>46385</v>
      </c>
      <c r="L18" s="29" t="s">
        <v>209</v>
      </c>
      <c r="M18" s="32" t="n">
        <f aca="false">Assumptions!$B$33</f>
        <v>13000</v>
      </c>
      <c r="N18" s="30" t="n">
        <f aca="false">IF(L18="No",Assumptions!$B$34,0)</f>
        <v>0</v>
      </c>
      <c r="O18" s="30" t="n">
        <f aca="false">M18+N18</f>
        <v>13000</v>
      </c>
      <c r="P18" s="30" t="n">
        <f aca="false">G18+Assumptions!$B$37+IF(L18="No",Assumptions!$B$38,0)</f>
        <v>1250</v>
      </c>
    </row>
    <row r="19" customFormat="false" ht="15" hidden="false" customHeight="false" outlineLevel="0" collapsed="false">
      <c r="A19" s="9" t="s">
        <v>224</v>
      </c>
      <c r="B19" s="29" t="s">
        <v>205</v>
      </c>
      <c r="C19" s="9" t="s">
        <v>206</v>
      </c>
      <c r="D19" s="19" t="n">
        <v>712</v>
      </c>
      <c r="E19" s="9" t="s">
        <v>207</v>
      </c>
      <c r="F19" s="29" t="s">
        <v>208</v>
      </c>
      <c r="G19" s="30" t="n">
        <v>1125</v>
      </c>
      <c r="H19" s="30" t="n">
        <v>1079</v>
      </c>
      <c r="I19" s="30" t="n">
        <f aca="false">IF(F19="Vacant",0,H19-G19)</f>
        <v>-46</v>
      </c>
      <c r="J19" s="31" t="n">
        <v>45518</v>
      </c>
      <c r="K19" s="31" t="n">
        <v>46247</v>
      </c>
      <c r="L19" s="29" t="s">
        <v>209</v>
      </c>
      <c r="M19" s="32" t="n">
        <f aca="false">Assumptions!$B$33</f>
        <v>13000</v>
      </c>
      <c r="N19" s="30" t="n">
        <f aca="false">IF(L19="No",Assumptions!$B$34,0)</f>
        <v>0</v>
      </c>
      <c r="O19" s="30" t="n">
        <f aca="false">M19+N19</f>
        <v>13000</v>
      </c>
      <c r="P19" s="30" t="n">
        <f aca="false">G19+Assumptions!$B$37+IF(L19="No",Assumptions!$B$38,0)</f>
        <v>1250</v>
      </c>
    </row>
    <row r="20" customFormat="false" ht="15" hidden="false" customHeight="false" outlineLevel="0" collapsed="false">
      <c r="A20" s="9" t="s">
        <v>225</v>
      </c>
      <c r="B20" s="29" t="s">
        <v>205</v>
      </c>
      <c r="C20" s="9" t="s">
        <v>213</v>
      </c>
      <c r="D20" s="19" t="n">
        <v>712</v>
      </c>
      <c r="E20" s="9" t="s">
        <v>207</v>
      </c>
      <c r="F20" s="29" t="s">
        <v>208</v>
      </c>
      <c r="G20" s="30" t="n">
        <v>1050</v>
      </c>
      <c r="H20" s="30" t="n">
        <v>1044</v>
      </c>
      <c r="I20" s="30" t="n">
        <f aca="false">IF(F20="Vacant",0,H20-G20)</f>
        <v>-6</v>
      </c>
      <c r="J20" s="31" t="n">
        <v>46172</v>
      </c>
      <c r="K20" s="31" t="n">
        <v>46567</v>
      </c>
      <c r="L20" s="29" t="s">
        <v>214</v>
      </c>
      <c r="M20" s="32" t="n">
        <f aca="false">Assumptions!$B$33</f>
        <v>13000</v>
      </c>
      <c r="N20" s="30" t="n">
        <f aca="false">IF(L20="No",Assumptions!$B$34,0)</f>
        <v>5000</v>
      </c>
      <c r="O20" s="30" t="n">
        <f aca="false">M20+N20</f>
        <v>18000</v>
      </c>
      <c r="P20" s="30" t="n">
        <f aca="false">G20+Assumptions!$B$37+IF(L20="No",Assumptions!$B$38,0)</f>
        <v>1250</v>
      </c>
    </row>
    <row r="21" customFormat="false" ht="15" hidden="false" customHeight="false" outlineLevel="0" collapsed="false">
      <c r="A21" s="9" t="s">
        <v>226</v>
      </c>
      <c r="B21" s="29" t="s">
        <v>205</v>
      </c>
      <c r="C21" s="9" t="s">
        <v>213</v>
      </c>
      <c r="D21" s="19" t="n">
        <v>712</v>
      </c>
      <c r="E21" s="9" t="s">
        <v>207</v>
      </c>
      <c r="F21" s="29" t="s">
        <v>208</v>
      </c>
      <c r="G21" s="30" t="n">
        <v>1050</v>
      </c>
      <c r="H21" s="30" t="n">
        <v>1044</v>
      </c>
      <c r="I21" s="30" t="n">
        <f aca="false">IF(F21="Vacant",0,H21-G21)</f>
        <v>-6</v>
      </c>
      <c r="J21" s="31" t="n">
        <v>45912</v>
      </c>
      <c r="K21" s="31" t="n">
        <v>46306</v>
      </c>
      <c r="L21" s="29" t="s">
        <v>214</v>
      </c>
      <c r="M21" s="32" t="n">
        <f aca="false">Assumptions!$B$33</f>
        <v>13000</v>
      </c>
      <c r="N21" s="30" t="n">
        <f aca="false">IF(L21="No",Assumptions!$B$34,0)</f>
        <v>5000</v>
      </c>
      <c r="O21" s="30" t="n">
        <f aca="false">M21+N21</f>
        <v>18000</v>
      </c>
      <c r="P21" s="30" t="n">
        <f aca="false">G21+Assumptions!$B$37+IF(L21="No",Assumptions!$B$38,0)</f>
        <v>1250</v>
      </c>
    </row>
    <row r="22" customFormat="false" ht="15" hidden="false" customHeight="false" outlineLevel="0" collapsed="false">
      <c r="A22" s="9" t="s">
        <v>227</v>
      </c>
      <c r="B22" s="29" t="s">
        <v>205</v>
      </c>
      <c r="C22" s="9" t="s">
        <v>213</v>
      </c>
      <c r="D22" s="19" t="n">
        <v>712</v>
      </c>
      <c r="E22" s="9" t="s">
        <v>207</v>
      </c>
      <c r="F22" s="29" t="s">
        <v>208</v>
      </c>
      <c r="G22" s="30" t="n">
        <v>1050</v>
      </c>
      <c r="H22" s="30" t="n">
        <v>1044</v>
      </c>
      <c r="I22" s="30" t="n">
        <f aca="false">IF(F22="Vacant",0,H22-G22)</f>
        <v>-6</v>
      </c>
      <c r="J22" s="31" t="n">
        <v>43847</v>
      </c>
      <c r="K22" s="31"/>
      <c r="L22" s="29" t="s">
        <v>214</v>
      </c>
      <c r="M22" s="32" t="n">
        <f aca="false">Assumptions!$B$33</f>
        <v>13000</v>
      </c>
      <c r="N22" s="30" t="n">
        <f aca="false">IF(L22="No",Assumptions!$B$34,0)</f>
        <v>5000</v>
      </c>
      <c r="O22" s="30" t="n">
        <f aca="false">M22+N22</f>
        <v>18000</v>
      </c>
      <c r="P22" s="30" t="n">
        <f aca="false">G22+Assumptions!$B$37+IF(L22="No",Assumptions!$B$38,0)</f>
        <v>1250</v>
      </c>
    </row>
    <row r="23" customFormat="false" ht="15" hidden="false" customHeight="false" outlineLevel="0" collapsed="false">
      <c r="A23" s="9" t="s">
        <v>228</v>
      </c>
      <c r="B23" s="29" t="s">
        <v>205</v>
      </c>
      <c r="C23" s="9" t="s">
        <v>206</v>
      </c>
      <c r="D23" s="19" t="n">
        <v>712</v>
      </c>
      <c r="E23" s="9" t="s">
        <v>207</v>
      </c>
      <c r="F23" s="29" t="s">
        <v>208</v>
      </c>
      <c r="G23" s="30" t="n">
        <v>1125</v>
      </c>
      <c r="H23" s="30" t="n">
        <v>1084</v>
      </c>
      <c r="I23" s="30" t="n">
        <f aca="false">IF(F23="Vacant",0,H23-G23)</f>
        <v>-41</v>
      </c>
      <c r="J23" s="31" t="n">
        <v>45531</v>
      </c>
      <c r="K23" s="31" t="n">
        <v>46260</v>
      </c>
      <c r="L23" s="29" t="s">
        <v>209</v>
      </c>
      <c r="M23" s="32" t="n">
        <f aca="false">Assumptions!$B$33</f>
        <v>13000</v>
      </c>
      <c r="N23" s="30" t="n">
        <f aca="false">IF(L23="No",Assumptions!$B$34,0)</f>
        <v>0</v>
      </c>
      <c r="O23" s="30" t="n">
        <f aca="false">M23+N23</f>
        <v>13000</v>
      </c>
      <c r="P23" s="30" t="n">
        <f aca="false">G23+Assumptions!$B$37+IF(L23="No",Assumptions!$B$38,0)</f>
        <v>1250</v>
      </c>
    </row>
    <row r="24" customFormat="false" ht="15" hidden="false" customHeight="false" outlineLevel="0" collapsed="false">
      <c r="A24" s="9" t="s">
        <v>229</v>
      </c>
      <c r="B24" s="29" t="s">
        <v>205</v>
      </c>
      <c r="C24" s="9" t="s">
        <v>206</v>
      </c>
      <c r="D24" s="19" t="n">
        <v>712</v>
      </c>
      <c r="E24" s="9" t="s">
        <v>207</v>
      </c>
      <c r="F24" s="29" t="s">
        <v>208</v>
      </c>
      <c r="G24" s="30" t="n">
        <v>1125</v>
      </c>
      <c r="H24" s="30" t="n">
        <v>1109</v>
      </c>
      <c r="I24" s="30" t="n">
        <f aca="false">IF(F24="Vacant",0,H24-G24)</f>
        <v>-16</v>
      </c>
      <c r="J24" s="31" t="n">
        <v>46130</v>
      </c>
      <c r="K24" s="31" t="n">
        <v>46524</v>
      </c>
      <c r="L24" s="29" t="s">
        <v>209</v>
      </c>
      <c r="M24" s="32" t="n">
        <f aca="false">Assumptions!$B$33</f>
        <v>13000</v>
      </c>
      <c r="N24" s="30" t="n">
        <f aca="false">IF(L24="No",Assumptions!$B$34,0)</f>
        <v>0</v>
      </c>
      <c r="O24" s="30" t="n">
        <f aca="false">M24+N24</f>
        <v>13000</v>
      </c>
      <c r="P24" s="30" t="n">
        <f aca="false">G24+Assumptions!$B$37+IF(L24="No",Assumptions!$B$38,0)</f>
        <v>1250</v>
      </c>
    </row>
    <row r="25" customFormat="false" ht="15" hidden="false" customHeight="false" outlineLevel="0" collapsed="false">
      <c r="A25" s="9" t="s">
        <v>230</v>
      </c>
      <c r="B25" s="29" t="s">
        <v>205</v>
      </c>
      <c r="C25" s="9" t="s">
        <v>206</v>
      </c>
      <c r="D25" s="19" t="n">
        <v>712</v>
      </c>
      <c r="E25" s="9" t="s">
        <v>207</v>
      </c>
      <c r="F25" s="29" t="s">
        <v>208</v>
      </c>
      <c r="G25" s="30" t="n">
        <v>1125</v>
      </c>
      <c r="H25" s="30" t="n">
        <v>1109</v>
      </c>
      <c r="I25" s="30" t="n">
        <f aca="false">IF(F25="Vacant",0,H25-G25)</f>
        <v>-16</v>
      </c>
      <c r="J25" s="31" t="n">
        <v>40207</v>
      </c>
      <c r="K25" s="31" t="n">
        <v>46418</v>
      </c>
      <c r="L25" s="29" t="s">
        <v>209</v>
      </c>
      <c r="M25" s="32" t="n">
        <f aca="false">Assumptions!$B$33</f>
        <v>13000</v>
      </c>
      <c r="N25" s="30" t="n">
        <f aca="false">IF(L25="No",Assumptions!$B$34,0)</f>
        <v>0</v>
      </c>
      <c r="O25" s="30" t="n">
        <f aca="false">M25+N25</f>
        <v>13000</v>
      </c>
      <c r="P25" s="30" t="n">
        <f aca="false">G25+Assumptions!$B$37+IF(L25="No",Assumptions!$B$38,0)</f>
        <v>1250</v>
      </c>
    </row>
    <row r="26" customFormat="false" ht="15" hidden="false" customHeight="false" outlineLevel="0" collapsed="false">
      <c r="A26" s="9" t="s">
        <v>231</v>
      </c>
      <c r="B26" s="29" t="s">
        <v>205</v>
      </c>
      <c r="C26" s="9" t="s">
        <v>213</v>
      </c>
      <c r="D26" s="19" t="n">
        <v>712</v>
      </c>
      <c r="E26" s="9" t="s">
        <v>207</v>
      </c>
      <c r="F26" s="29" t="s">
        <v>208</v>
      </c>
      <c r="G26" s="30" t="n">
        <v>1050</v>
      </c>
      <c r="H26" s="30" t="n">
        <v>1029</v>
      </c>
      <c r="I26" s="30" t="n">
        <f aca="false">IF(F26="Vacant",0,H26-G26)</f>
        <v>-21</v>
      </c>
      <c r="J26" s="31" t="n">
        <v>44680</v>
      </c>
      <c r="K26" s="31" t="n">
        <v>46505</v>
      </c>
      <c r="L26" s="29" t="s">
        <v>214</v>
      </c>
      <c r="M26" s="32" t="n">
        <f aca="false">Assumptions!$B$33</f>
        <v>13000</v>
      </c>
      <c r="N26" s="30" t="n">
        <f aca="false">IF(L26="No",Assumptions!$B$34,0)</f>
        <v>5000</v>
      </c>
      <c r="O26" s="30" t="n">
        <f aca="false">M26+N26</f>
        <v>18000</v>
      </c>
      <c r="P26" s="30" t="n">
        <f aca="false">G26+Assumptions!$B$37+IF(L26="No",Assumptions!$B$38,0)</f>
        <v>1250</v>
      </c>
    </row>
    <row r="27" customFormat="false" ht="15" hidden="false" customHeight="false" outlineLevel="0" collapsed="false">
      <c r="A27" s="9" t="s">
        <v>232</v>
      </c>
      <c r="B27" s="29" t="s">
        <v>205</v>
      </c>
      <c r="C27" s="9" t="s">
        <v>213</v>
      </c>
      <c r="D27" s="19" t="n">
        <v>712</v>
      </c>
      <c r="E27" s="9" t="s">
        <v>207</v>
      </c>
      <c r="F27" s="29" t="s">
        <v>208</v>
      </c>
      <c r="G27" s="30" t="n">
        <v>1050</v>
      </c>
      <c r="H27" s="30" t="n">
        <v>1044</v>
      </c>
      <c r="I27" s="30" t="n">
        <f aca="false">IF(F27="Vacant",0,H27-G27)</f>
        <v>-6</v>
      </c>
      <c r="J27" s="31" t="n">
        <v>45961</v>
      </c>
      <c r="K27" s="31" t="n">
        <v>46356</v>
      </c>
      <c r="L27" s="29" t="s">
        <v>214</v>
      </c>
      <c r="M27" s="32" t="n">
        <f aca="false">Assumptions!$B$33</f>
        <v>13000</v>
      </c>
      <c r="N27" s="30" t="n">
        <f aca="false">IF(L27="No",Assumptions!$B$34,0)</f>
        <v>5000</v>
      </c>
      <c r="O27" s="30" t="n">
        <f aca="false">M27+N27</f>
        <v>18000</v>
      </c>
      <c r="P27" s="30" t="n">
        <f aca="false">G27+Assumptions!$B$37+IF(L27="No",Assumptions!$B$38,0)</f>
        <v>1250</v>
      </c>
    </row>
    <row r="28" customFormat="false" ht="15" hidden="false" customHeight="false" outlineLevel="0" collapsed="false">
      <c r="A28" s="9" t="s">
        <v>233</v>
      </c>
      <c r="B28" s="29" t="s">
        <v>205</v>
      </c>
      <c r="C28" s="9" t="s">
        <v>213</v>
      </c>
      <c r="D28" s="19" t="n">
        <v>712</v>
      </c>
      <c r="E28" s="9" t="s">
        <v>207</v>
      </c>
      <c r="F28" s="29" t="s">
        <v>208</v>
      </c>
      <c r="G28" s="30" t="n">
        <v>1050</v>
      </c>
      <c r="H28" s="30" t="n">
        <v>1044</v>
      </c>
      <c r="I28" s="30" t="n">
        <f aca="false">IF(F28="Vacant",0,H28-G28)</f>
        <v>-6</v>
      </c>
      <c r="J28" s="31" t="n">
        <v>46105</v>
      </c>
      <c r="K28" s="31" t="n">
        <v>46500</v>
      </c>
      <c r="L28" s="29" t="s">
        <v>214</v>
      </c>
      <c r="M28" s="32" t="n">
        <f aca="false">Assumptions!$B$33</f>
        <v>13000</v>
      </c>
      <c r="N28" s="30" t="n">
        <f aca="false">IF(L28="No",Assumptions!$B$34,0)</f>
        <v>5000</v>
      </c>
      <c r="O28" s="30" t="n">
        <f aca="false">M28+N28</f>
        <v>18000</v>
      </c>
      <c r="P28" s="30" t="n">
        <f aca="false">G28+Assumptions!$B$37+IF(L28="No",Assumptions!$B$38,0)</f>
        <v>1250</v>
      </c>
    </row>
    <row r="29" customFormat="false" ht="15" hidden="false" customHeight="false" outlineLevel="0" collapsed="false">
      <c r="A29" s="9" t="s">
        <v>234</v>
      </c>
      <c r="B29" s="29" t="s">
        <v>205</v>
      </c>
      <c r="C29" s="9" t="s">
        <v>213</v>
      </c>
      <c r="D29" s="19" t="n">
        <v>712</v>
      </c>
      <c r="E29" s="9" t="s">
        <v>207</v>
      </c>
      <c r="F29" s="29" t="s">
        <v>208</v>
      </c>
      <c r="G29" s="30" t="n">
        <v>1050</v>
      </c>
      <c r="H29" s="30" t="n">
        <v>1044</v>
      </c>
      <c r="I29" s="30" t="n">
        <f aca="false">IF(F29="Vacant",0,H29-G29)</f>
        <v>-6</v>
      </c>
      <c r="J29" s="31" t="n">
        <v>46101</v>
      </c>
      <c r="K29" s="31" t="n">
        <v>46496</v>
      </c>
      <c r="L29" s="29" t="s">
        <v>214</v>
      </c>
      <c r="M29" s="32" t="n">
        <f aca="false">Assumptions!$B$33</f>
        <v>13000</v>
      </c>
      <c r="N29" s="30" t="n">
        <f aca="false">IF(L29="No",Assumptions!$B$34,0)</f>
        <v>5000</v>
      </c>
      <c r="O29" s="30" t="n">
        <f aca="false">M29+N29</f>
        <v>18000</v>
      </c>
      <c r="P29" s="30" t="n">
        <f aca="false">G29+Assumptions!$B$37+IF(L29="No",Assumptions!$B$38,0)</f>
        <v>1250</v>
      </c>
    </row>
    <row r="30" customFormat="false" ht="15" hidden="false" customHeight="false" outlineLevel="0" collapsed="false">
      <c r="A30" s="9" t="s">
        <v>235</v>
      </c>
      <c r="B30" s="29" t="s">
        <v>205</v>
      </c>
      <c r="C30" s="9" t="s">
        <v>213</v>
      </c>
      <c r="D30" s="19" t="n">
        <v>712</v>
      </c>
      <c r="E30" s="9" t="s">
        <v>207</v>
      </c>
      <c r="F30" s="29" t="s">
        <v>208</v>
      </c>
      <c r="G30" s="30" t="n">
        <v>1050</v>
      </c>
      <c r="H30" s="30" t="n">
        <v>1044</v>
      </c>
      <c r="I30" s="30" t="n">
        <f aca="false">IF(F30="Vacant",0,H30-G30)</f>
        <v>-6</v>
      </c>
      <c r="J30" s="31" t="n">
        <v>45566</v>
      </c>
      <c r="K30" s="31" t="n">
        <v>46295</v>
      </c>
      <c r="L30" s="29" t="s">
        <v>214</v>
      </c>
      <c r="M30" s="32" t="n">
        <f aca="false">Assumptions!$B$33</f>
        <v>13000</v>
      </c>
      <c r="N30" s="30" t="n">
        <f aca="false">IF(L30="No",Assumptions!$B$34,0)</f>
        <v>5000</v>
      </c>
      <c r="O30" s="30" t="n">
        <f aca="false">M30+N30</f>
        <v>18000</v>
      </c>
      <c r="P30" s="30" t="n">
        <f aca="false">G30+Assumptions!$B$37+IF(L30="No",Assumptions!$B$38,0)</f>
        <v>1250</v>
      </c>
    </row>
    <row r="31" customFormat="false" ht="15" hidden="false" customHeight="false" outlineLevel="0" collapsed="false">
      <c r="A31" s="9" t="s">
        <v>236</v>
      </c>
      <c r="B31" s="29" t="s">
        <v>205</v>
      </c>
      <c r="C31" s="9" t="s">
        <v>206</v>
      </c>
      <c r="D31" s="19" t="n">
        <v>712</v>
      </c>
      <c r="E31" s="9" t="s">
        <v>207</v>
      </c>
      <c r="F31" s="29" t="s">
        <v>208</v>
      </c>
      <c r="G31" s="30" t="n">
        <v>1125</v>
      </c>
      <c r="H31" s="30" t="n">
        <v>1094</v>
      </c>
      <c r="I31" s="30" t="n">
        <f aca="false">IF(F31="Vacant",0,H31-G31)</f>
        <v>-31</v>
      </c>
      <c r="J31" s="31" t="n">
        <v>45710</v>
      </c>
      <c r="K31" s="31" t="n">
        <v>46439</v>
      </c>
      <c r="L31" s="29" t="s">
        <v>209</v>
      </c>
      <c r="M31" s="32" t="n">
        <f aca="false">Assumptions!$B$33</f>
        <v>13000</v>
      </c>
      <c r="N31" s="30" t="n">
        <f aca="false">IF(L31="No",Assumptions!$B$34,0)</f>
        <v>0</v>
      </c>
      <c r="O31" s="30" t="n">
        <f aca="false">M31+N31</f>
        <v>13000</v>
      </c>
      <c r="P31" s="30" t="n">
        <f aca="false">G31+Assumptions!$B$37+IF(L31="No",Assumptions!$B$38,0)</f>
        <v>1250</v>
      </c>
    </row>
    <row r="32" customFormat="false" ht="15" hidden="false" customHeight="false" outlineLevel="0" collapsed="false">
      <c r="A32" s="9" t="s">
        <v>237</v>
      </c>
      <c r="B32" s="29" t="s">
        <v>205</v>
      </c>
      <c r="C32" s="9" t="s">
        <v>206</v>
      </c>
      <c r="D32" s="19" t="n">
        <v>712</v>
      </c>
      <c r="E32" s="9" t="s">
        <v>207</v>
      </c>
      <c r="F32" s="29" t="s">
        <v>208</v>
      </c>
      <c r="G32" s="30" t="n">
        <v>1125</v>
      </c>
      <c r="H32" s="30" t="n">
        <v>1109</v>
      </c>
      <c r="I32" s="30" t="n">
        <f aca="false">IF(F32="Vacant",0,H32-G32)</f>
        <v>-16</v>
      </c>
      <c r="J32" s="31" t="n">
        <v>45919</v>
      </c>
      <c r="K32" s="31" t="n">
        <v>46313</v>
      </c>
      <c r="L32" s="29" t="s">
        <v>209</v>
      </c>
      <c r="M32" s="32" t="n">
        <f aca="false">Assumptions!$B$33</f>
        <v>13000</v>
      </c>
      <c r="N32" s="30" t="n">
        <f aca="false">IF(L32="No",Assumptions!$B$34,0)</f>
        <v>0</v>
      </c>
      <c r="O32" s="30" t="n">
        <f aca="false">M32+N32</f>
        <v>13000</v>
      </c>
      <c r="P32" s="30" t="n">
        <f aca="false">G32+Assumptions!$B$37+IF(L32="No",Assumptions!$B$38,0)</f>
        <v>1250</v>
      </c>
    </row>
    <row r="33" customFormat="false" ht="15" hidden="false" customHeight="false" outlineLevel="0" collapsed="false">
      <c r="A33" s="9" t="s">
        <v>238</v>
      </c>
      <c r="B33" s="29" t="s">
        <v>205</v>
      </c>
      <c r="C33" s="9" t="s">
        <v>206</v>
      </c>
      <c r="D33" s="19" t="n">
        <v>712</v>
      </c>
      <c r="E33" s="9" t="s">
        <v>239</v>
      </c>
      <c r="F33" s="29" t="s">
        <v>208</v>
      </c>
      <c r="G33" s="30" t="n">
        <v>1125</v>
      </c>
      <c r="H33" s="30" t="n">
        <v>1109</v>
      </c>
      <c r="I33" s="30" t="n">
        <f aca="false">IF(F33="Vacant",0,H33-G33)</f>
        <v>-16</v>
      </c>
      <c r="J33" s="31" t="n">
        <v>46066</v>
      </c>
      <c r="K33" s="31" t="n">
        <v>46458</v>
      </c>
      <c r="L33" s="29" t="s">
        <v>209</v>
      </c>
      <c r="M33" s="32" t="n">
        <f aca="false">Assumptions!$B$33</f>
        <v>13000</v>
      </c>
      <c r="N33" s="30" t="n">
        <f aca="false">IF(L33="No",Assumptions!$B$34,0)</f>
        <v>0</v>
      </c>
      <c r="O33" s="30" t="n">
        <f aca="false">M33+N33</f>
        <v>13000</v>
      </c>
      <c r="P33" s="30" t="n">
        <f aca="false">G33+Assumptions!$B$37+IF(L33="No",Assumptions!$B$38,0)</f>
        <v>1250</v>
      </c>
    </row>
    <row r="34" customFormat="false" ht="15" hidden="false" customHeight="false" outlineLevel="0" collapsed="false">
      <c r="A34" s="9" t="s">
        <v>240</v>
      </c>
      <c r="B34" s="29" t="s">
        <v>205</v>
      </c>
      <c r="C34" s="9" t="s">
        <v>206</v>
      </c>
      <c r="D34" s="19" t="n">
        <v>712</v>
      </c>
      <c r="E34" s="9" t="s">
        <v>241</v>
      </c>
      <c r="F34" s="29" t="s">
        <v>208</v>
      </c>
      <c r="G34" s="30" t="n">
        <v>1125</v>
      </c>
      <c r="H34" s="30" t="n">
        <v>1079</v>
      </c>
      <c r="I34" s="30" t="n">
        <f aca="false">IF(F34="Vacant",0,H34-G34)</f>
        <v>-46</v>
      </c>
      <c r="J34" s="31" t="n">
        <v>45506</v>
      </c>
      <c r="K34" s="31" t="n">
        <v>46235</v>
      </c>
      <c r="L34" s="29" t="s">
        <v>209</v>
      </c>
      <c r="M34" s="32" t="n">
        <f aca="false">Assumptions!$B$33</f>
        <v>13000</v>
      </c>
      <c r="N34" s="30" t="n">
        <f aca="false">IF(L34="No",Assumptions!$B$34,0)</f>
        <v>0</v>
      </c>
      <c r="O34" s="30" t="n">
        <f aca="false">M34+N34</f>
        <v>13000</v>
      </c>
      <c r="P34" s="30" t="n">
        <f aca="false">G34+Assumptions!$B$37+IF(L34="No",Assumptions!$B$38,0)</f>
        <v>1250</v>
      </c>
    </row>
    <row r="35" customFormat="false" ht="15" hidden="false" customHeight="false" outlineLevel="0" collapsed="false">
      <c r="A35" s="9" t="s">
        <v>242</v>
      </c>
      <c r="B35" s="29" t="s">
        <v>205</v>
      </c>
      <c r="C35" s="9" t="s">
        <v>213</v>
      </c>
      <c r="D35" s="19" t="n">
        <v>712</v>
      </c>
      <c r="E35" s="9" t="s">
        <v>241</v>
      </c>
      <c r="F35" s="29" t="s">
        <v>208</v>
      </c>
      <c r="G35" s="30" t="n">
        <v>1050</v>
      </c>
      <c r="H35" s="30" t="n">
        <v>1044</v>
      </c>
      <c r="I35" s="30" t="n">
        <f aca="false">IF(F35="Vacant",0,H35-G35)</f>
        <v>-6</v>
      </c>
      <c r="J35" s="31" t="n">
        <v>45878</v>
      </c>
      <c r="K35" s="31" t="n">
        <v>46242</v>
      </c>
      <c r="L35" s="29" t="s">
        <v>214</v>
      </c>
      <c r="M35" s="32" t="n">
        <f aca="false">Assumptions!$B$33</f>
        <v>13000</v>
      </c>
      <c r="N35" s="30" t="n">
        <f aca="false">IF(L35="No",Assumptions!$B$34,0)</f>
        <v>5000</v>
      </c>
      <c r="O35" s="30" t="n">
        <f aca="false">M35+N35</f>
        <v>18000</v>
      </c>
      <c r="P35" s="30" t="n">
        <f aca="false">G35+Assumptions!$B$37+IF(L35="No",Assumptions!$B$38,0)</f>
        <v>1250</v>
      </c>
    </row>
    <row r="36" customFormat="false" ht="15" hidden="false" customHeight="false" outlineLevel="0" collapsed="false">
      <c r="A36" s="9" t="s">
        <v>243</v>
      </c>
      <c r="B36" s="29" t="s">
        <v>244</v>
      </c>
      <c r="C36" s="9" t="s">
        <v>245</v>
      </c>
      <c r="D36" s="19" t="n">
        <v>852</v>
      </c>
      <c r="E36" s="9" t="s">
        <v>207</v>
      </c>
      <c r="F36" s="29" t="s">
        <v>208</v>
      </c>
      <c r="G36" s="30" t="n">
        <v>1165</v>
      </c>
      <c r="H36" s="30" t="n">
        <v>1164</v>
      </c>
      <c r="I36" s="30" t="n">
        <f aca="false">IF(F36="Vacant",0,H36-G36)</f>
        <v>-1</v>
      </c>
      <c r="J36" s="31" t="n">
        <v>45423</v>
      </c>
      <c r="K36" s="31" t="n">
        <v>46336</v>
      </c>
      <c r="L36" s="29" t="s">
        <v>209</v>
      </c>
      <c r="M36" s="32" t="n">
        <f aca="false">Assumptions!$B$33</f>
        <v>13000</v>
      </c>
      <c r="N36" s="30" t="n">
        <f aca="false">IF(L36="No",Assumptions!$B$34,0)</f>
        <v>0</v>
      </c>
      <c r="O36" s="30" t="n">
        <f aca="false">M36+N36</f>
        <v>13000</v>
      </c>
      <c r="P36" s="30" t="n">
        <f aca="false">G36+Assumptions!$B$37+IF(L36="No",Assumptions!$B$38,0)</f>
        <v>1290</v>
      </c>
    </row>
    <row r="37" customFormat="false" ht="15" hidden="false" customHeight="false" outlineLevel="0" collapsed="false">
      <c r="A37" s="9" t="s">
        <v>246</v>
      </c>
      <c r="B37" s="29" t="s">
        <v>244</v>
      </c>
      <c r="C37" s="9" t="s">
        <v>245</v>
      </c>
      <c r="D37" s="19" t="n">
        <v>852</v>
      </c>
      <c r="E37" s="9" t="s">
        <v>207</v>
      </c>
      <c r="F37" s="29" t="s">
        <v>208</v>
      </c>
      <c r="G37" s="30" t="n">
        <v>1165</v>
      </c>
      <c r="H37" s="30" t="n">
        <v>1174</v>
      </c>
      <c r="I37" s="30" t="n">
        <f aca="false">IF(F37="Vacant",0,H37-G37)</f>
        <v>9</v>
      </c>
      <c r="J37" s="31" t="n">
        <v>44926</v>
      </c>
      <c r="K37" s="31" t="n">
        <v>46417</v>
      </c>
      <c r="L37" s="29" t="s">
        <v>209</v>
      </c>
      <c r="M37" s="32" t="n">
        <f aca="false">Assumptions!$B$33</f>
        <v>13000</v>
      </c>
      <c r="N37" s="30" t="n">
        <f aca="false">IF(L37="No",Assumptions!$B$34,0)</f>
        <v>0</v>
      </c>
      <c r="O37" s="30" t="n">
        <f aca="false">M37+N37</f>
        <v>13000</v>
      </c>
      <c r="P37" s="30" t="n">
        <f aca="false">G37+Assumptions!$B$37+IF(L37="No",Assumptions!$B$38,0)</f>
        <v>1290</v>
      </c>
    </row>
    <row r="38" customFormat="false" ht="15" hidden="false" customHeight="false" outlineLevel="0" collapsed="false">
      <c r="A38" s="9" t="s">
        <v>247</v>
      </c>
      <c r="B38" s="29" t="s">
        <v>244</v>
      </c>
      <c r="C38" s="9" t="s">
        <v>245</v>
      </c>
      <c r="D38" s="19" t="n">
        <v>852</v>
      </c>
      <c r="E38" s="9" t="s">
        <v>207</v>
      </c>
      <c r="F38" s="29" t="s">
        <v>208</v>
      </c>
      <c r="G38" s="30" t="n">
        <v>1165</v>
      </c>
      <c r="H38" s="30" t="n">
        <v>1159</v>
      </c>
      <c r="I38" s="30" t="n">
        <f aca="false">IF(F38="Vacant",0,H38-G38)</f>
        <v>-6</v>
      </c>
      <c r="J38" s="31" t="n">
        <v>43709</v>
      </c>
      <c r="K38" s="31" t="n">
        <v>46445</v>
      </c>
      <c r="L38" s="29" t="s">
        <v>209</v>
      </c>
      <c r="M38" s="32" t="n">
        <f aca="false">Assumptions!$B$33</f>
        <v>13000</v>
      </c>
      <c r="N38" s="30" t="n">
        <f aca="false">IF(L38="No",Assumptions!$B$34,0)</f>
        <v>0</v>
      </c>
      <c r="O38" s="30" t="n">
        <f aca="false">M38+N38</f>
        <v>13000</v>
      </c>
      <c r="P38" s="30" t="n">
        <f aca="false">G38+Assumptions!$B$37+IF(L38="No",Assumptions!$B$38,0)</f>
        <v>1290</v>
      </c>
    </row>
    <row r="39" customFormat="false" ht="15" hidden="false" customHeight="false" outlineLevel="0" collapsed="false">
      <c r="A39" s="9" t="s">
        <v>248</v>
      </c>
      <c r="B39" s="29" t="s">
        <v>244</v>
      </c>
      <c r="C39" s="9" t="s">
        <v>245</v>
      </c>
      <c r="D39" s="19" t="n">
        <v>852</v>
      </c>
      <c r="E39" s="9" t="s">
        <v>207</v>
      </c>
      <c r="F39" s="29" t="s">
        <v>208</v>
      </c>
      <c r="G39" s="30" t="n">
        <v>1165</v>
      </c>
      <c r="H39" s="30" t="n">
        <v>1159</v>
      </c>
      <c r="I39" s="30" t="n">
        <f aca="false">IF(F39="Vacant",0,H39-G39)</f>
        <v>-6</v>
      </c>
      <c r="J39" s="31" t="n">
        <v>45044</v>
      </c>
      <c r="K39" s="31" t="n">
        <v>46504</v>
      </c>
      <c r="L39" s="29" t="s">
        <v>209</v>
      </c>
      <c r="M39" s="32" t="n">
        <f aca="false">Assumptions!$B$33</f>
        <v>13000</v>
      </c>
      <c r="N39" s="30" t="n">
        <f aca="false">IF(L39="No",Assumptions!$B$34,0)</f>
        <v>0</v>
      </c>
      <c r="O39" s="30" t="n">
        <f aca="false">M39+N39</f>
        <v>13000</v>
      </c>
      <c r="P39" s="30" t="n">
        <f aca="false">G39+Assumptions!$B$37+IF(L39="No",Assumptions!$B$38,0)</f>
        <v>1290</v>
      </c>
    </row>
    <row r="40" customFormat="false" ht="15" hidden="false" customHeight="false" outlineLevel="0" collapsed="false">
      <c r="A40" s="9" t="s">
        <v>249</v>
      </c>
      <c r="B40" s="29" t="s">
        <v>250</v>
      </c>
      <c r="C40" s="9" t="s">
        <v>251</v>
      </c>
      <c r="D40" s="19" t="n">
        <v>1182</v>
      </c>
      <c r="E40" s="9" t="s">
        <v>207</v>
      </c>
      <c r="F40" s="29" t="s">
        <v>208</v>
      </c>
      <c r="G40" s="30" t="n">
        <v>1350</v>
      </c>
      <c r="H40" s="30" t="n">
        <v>1329</v>
      </c>
      <c r="I40" s="30" t="n">
        <f aca="false">IF(F40="Vacant",0,H40-G40)</f>
        <v>-21</v>
      </c>
      <c r="J40" s="31" t="n">
        <v>44708</v>
      </c>
      <c r="K40" s="31" t="n">
        <v>46533</v>
      </c>
      <c r="L40" s="29" t="s">
        <v>209</v>
      </c>
      <c r="M40" s="32" t="n">
        <f aca="false">Assumptions!$B$33</f>
        <v>13000</v>
      </c>
      <c r="N40" s="30" t="n">
        <f aca="false">IF(L40="No",Assumptions!$B$34,0)</f>
        <v>0</v>
      </c>
      <c r="O40" s="30" t="n">
        <f aca="false">M40+N40</f>
        <v>13000</v>
      </c>
      <c r="P40" s="30" t="n">
        <f aca="false">G40+Assumptions!$B$37+IF(L40="No",Assumptions!$B$38,0)</f>
        <v>1475</v>
      </c>
    </row>
    <row r="41" customFormat="false" ht="15" hidden="false" customHeight="false" outlineLevel="0" collapsed="false">
      <c r="A41" s="9" t="s">
        <v>252</v>
      </c>
      <c r="B41" s="29" t="s">
        <v>250</v>
      </c>
      <c r="C41" s="9" t="s">
        <v>251</v>
      </c>
      <c r="D41" s="19" t="n">
        <v>1182</v>
      </c>
      <c r="E41" s="9" t="s">
        <v>207</v>
      </c>
      <c r="F41" s="29" t="s">
        <v>208</v>
      </c>
      <c r="G41" s="30" t="n">
        <v>1350</v>
      </c>
      <c r="H41" s="30" t="n">
        <v>1343</v>
      </c>
      <c r="I41" s="30" t="n">
        <f aca="false">IF(F41="Vacant",0,H41-G41)</f>
        <v>-7</v>
      </c>
      <c r="J41" s="31" t="n">
        <v>45077</v>
      </c>
      <c r="K41" s="31"/>
      <c r="L41" s="29" t="s">
        <v>209</v>
      </c>
      <c r="M41" s="32" t="n">
        <f aca="false">Assumptions!$B$33</f>
        <v>13000</v>
      </c>
      <c r="N41" s="30" t="n">
        <f aca="false">IF(L41="No",Assumptions!$B$34,0)</f>
        <v>0</v>
      </c>
      <c r="O41" s="30" t="n">
        <f aca="false">M41+N41</f>
        <v>13000</v>
      </c>
      <c r="P41" s="30" t="n">
        <f aca="false">G41+Assumptions!$B$37+IF(L41="No",Assumptions!$B$38,0)</f>
        <v>1475</v>
      </c>
    </row>
    <row r="42" customFormat="false" ht="15" hidden="false" customHeight="false" outlineLevel="0" collapsed="false">
      <c r="A42" s="9" t="s">
        <v>253</v>
      </c>
      <c r="B42" s="29" t="s">
        <v>250</v>
      </c>
      <c r="C42" s="9" t="s">
        <v>251</v>
      </c>
      <c r="D42" s="19" t="n">
        <v>1182</v>
      </c>
      <c r="E42" s="9" t="s">
        <v>207</v>
      </c>
      <c r="F42" s="29" t="s">
        <v>208</v>
      </c>
      <c r="G42" s="30" t="n">
        <v>1350</v>
      </c>
      <c r="H42" s="30" t="n">
        <v>1337</v>
      </c>
      <c r="I42" s="30" t="n">
        <f aca="false">IF(F42="Vacant",0,H42-G42)</f>
        <v>-13</v>
      </c>
      <c r="J42" s="31" t="n">
        <v>44459</v>
      </c>
      <c r="K42" s="31" t="n">
        <v>46284</v>
      </c>
      <c r="L42" s="29" t="s">
        <v>209</v>
      </c>
      <c r="M42" s="32" t="n">
        <f aca="false">Assumptions!$B$33</f>
        <v>13000</v>
      </c>
      <c r="N42" s="30" t="n">
        <f aca="false">IF(L42="No",Assumptions!$B$34,0)</f>
        <v>0</v>
      </c>
      <c r="O42" s="30" t="n">
        <f aca="false">M42+N42</f>
        <v>13000</v>
      </c>
      <c r="P42" s="30" t="n">
        <f aca="false">G42+Assumptions!$B$37+IF(L42="No",Assumptions!$B$38,0)</f>
        <v>1475</v>
      </c>
    </row>
    <row r="43" customFormat="false" ht="15" hidden="false" customHeight="false" outlineLevel="0" collapsed="false">
      <c r="A43" s="9" t="s">
        <v>254</v>
      </c>
      <c r="B43" s="29" t="s">
        <v>250</v>
      </c>
      <c r="C43" s="9" t="s">
        <v>251</v>
      </c>
      <c r="D43" s="19" t="n">
        <v>1182</v>
      </c>
      <c r="E43" s="9" t="s">
        <v>207</v>
      </c>
      <c r="F43" s="29" t="s">
        <v>208</v>
      </c>
      <c r="G43" s="30" t="n">
        <v>1350</v>
      </c>
      <c r="H43" s="30" t="n">
        <v>1343</v>
      </c>
      <c r="I43" s="30" t="n">
        <f aca="false">IF(F43="Vacant",0,H43-G43)</f>
        <v>-7</v>
      </c>
      <c r="J43" s="31" t="n">
        <v>46112</v>
      </c>
      <c r="K43" s="31" t="n">
        <v>46506</v>
      </c>
      <c r="L43" s="29" t="s">
        <v>209</v>
      </c>
      <c r="M43" s="32" t="n">
        <f aca="false">Assumptions!$B$33</f>
        <v>13000</v>
      </c>
      <c r="N43" s="30" t="n">
        <f aca="false">IF(L43="No",Assumptions!$B$34,0)</f>
        <v>0</v>
      </c>
      <c r="O43" s="30" t="n">
        <f aca="false">M43+N43</f>
        <v>13000</v>
      </c>
      <c r="P43" s="30" t="n">
        <f aca="false">G43+Assumptions!$B$37+IF(L43="No",Assumptions!$B$38,0)</f>
        <v>1475</v>
      </c>
    </row>
    <row r="44" customFormat="false" ht="15" hidden="false" customHeight="false" outlineLevel="0" collapsed="false">
      <c r="A44" s="9" t="s">
        <v>255</v>
      </c>
      <c r="B44" s="29" t="s">
        <v>256</v>
      </c>
      <c r="C44" s="9" t="s">
        <v>257</v>
      </c>
      <c r="D44" s="19" t="n">
        <v>1105</v>
      </c>
      <c r="E44" s="9" t="s">
        <v>207</v>
      </c>
      <c r="F44" s="29" t="s">
        <v>208</v>
      </c>
      <c r="G44" s="30" t="n">
        <v>1250</v>
      </c>
      <c r="H44" s="30" t="n">
        <v>1212</v>
      </c>
      <c r="I44" s="30" t="n">
        <f aca="false">IF(F44="Vacant",0,H44-G44)</f>
        <v>-38</v>
      </c>
      <c r="J44" s="31" t="n">
        <v>44862</v>
      </c>
      <c r="K44" s="31" t="n">
        <v>46322</v>
      </c>
      <c r="L44" s="29" t="s">
        <v>214</v>
      </c>
      <c r="M44" s="32" t="n">
        <f aca="false">Assumptions!$B$33</f>
        <v>13000</v>
      </c>
      <c r="N44" s="30" t="n">
        <f aca="false">IF(L44="No",Assumptions!$B$34,0)</f>
        <v>5000</v>
      </c>
      <c r="O44" s="30" t="n">
        <f aca="false">M44+N44</f>
        <v>18000</v>
      </c>
      <c r="P44" s="30" t="n">
        <f aca="false">G44+Assumptions!$B$37+IF(L44="No",Assumptions!$B$38,0)</f>
        <v>1450</v>
      </c>
    </row>
    <row r="45" customFormat="false" ht="15" hidden="false" customHeight="false" outlineLevel="0" collapsed="false">
      <c r="A45" s="9" t="s">
        <v>258</v>
      </c>
      <c r="B45" s="29" t="s">
        <v>256</v>
      </c>
      <c r="C45" s="9" t="s">
        <v>259</v>
      </c>
      <c r="D45" s="19" t="n">
        <v>1182</v>
      </c>
      <c r="E45" s="9" t="s">
        <v>207</v>
      </c>
      <c r="F45" s="29" t="s">
        <v>208</v>
      </c>
      <c r="G45" s="30" t="n">
        <v>1260</v>
      </c>
      <c r="H45" s="30" t="n">
        <v>1249</v>
      </c>
      <c r="I45" s="30" t="n">
        <f aca="false">IF(F45="Vacant",0,H45-G45)</f>
        <v>-11</v>
      </c>
      <c r="J45" s="31" t="n">
        <v>45233</v>
      </c>
      <c r="K45" s="31" t="n">
        <v>46328</v>
      </c>
      <c r="L45" s="29" t="s">
        <v>214</v>
      </c>
      <c r="M45" s="32" t="n">
        <f aca="false">Assumptions!$B$33</f>
        <v>13000</v>
      </c>
      <c r="N45" s="30" t="n">
        <f aca="false">IF(L45="No",Assumptions!$B$34,0)</f>
        <v>5000</v>
      </c>
      <c r="O45" s="30" t="n">
        <f aca="false">M45+N45</f>
        <v>18000</v>
      </c>
      <c r="P45" s="30" t="n">
        <f aca="false">G45+Assumptions!$B$37+IF(L45="No",Assumptions!$B$38,0)</f>
        <v>1460</v>
      </c>
    </row>
    <row r="46" customFormat="false" ht="15" hidden="false" customHeight="false" outlineLevel="0" collapsed="false">
      <c r="A46" s="9" t="s">
        <v>260</v>
      </c>
      <c r="B46" s="29" t="s">
        <v>256</v>
      </c>
      <c r="C46" s="9" t="s">
        <v>257</v>
      </c>
      <c r="D46" s="19" t="n">
        <v>1105</v>
      </c>
      <c r="E46" s="9" t="s">
        <v>207</v>
      </c>
      <c r="F46" s="29" t="s">
        <v>208</v>
      </c>
      <c r="G46" s="30" t="n">
        <v>1250</v>
      </c>
      <c r="H46" s="30" t="n">
        <v>1206</v>
      </c>
      <c r="I46" s="30" t="n">
        <f aca="false">IF(F46="Vacant",0,H46-G46)</f>
        <v>-44</v>
      </c>
      <c r="J46" s="31" t="n">
        <v>45768</v>
      </c>
      <c r="K46" s="31" t="n">
        <v>46497</v>
      </c>
      <c r="L46" s="29" t="s">
        <v>214</v>
      </c>
      <c r="M46" s="32" t="n">
        <f aca="false">Assumptions!$B$33</f>
        <v>13000</v>
      </c>
      <c r="N46" s="30" t="n">
        <f aca="false">IF(L46="No",Assumptions!$B$34,0)</f>
        <v>5000</v>
      </c>
      <c r="O46" s="30" t="n">
        <f aca="false">M46+N46</f>
        <v>18000</v>
      </c>
      <c r="P46" s="30" t="n">
        <f aca="false">G46+Assumptions!$B$37+IF(L46="No",Assumptions!$B$38,0)</f>
        <v>1450</v>
      </c>
    </row>
    <row r="47" customFormat="false" ht="15" hidden="false" customHeight="false" outlineLevel="0" collapsed="false">
      <c r="A47" s="9" t="s">
        <v>261</v>
      </c>
      <c r="B47" s="29" t="s">
        <v>256</v>
      </c>
      <c r="C47" s="9" t="s">
        <v>259</v>
      </c>
      <c r="D47" s="19" t="n">
        <v>1182</v>
      </c>
      <c r="E47" s="9" t="s">
        <v>207</v>
      </c>
      <c r="F47" s="29" t="s">
        <v>208</v>
      </c>
      <c r="G47" s="30" t="n">
        <v>1260</v>
      </c>
      <c r="H47" s="30" t="n">
        <v>1257</v>
      </c>
      <c r="I47" s="30" t="n">
        <f aca="false">IF(F47="Vacant",0,H47-G47)</f>
        <v>-3</v>
      </c>
      <c r="J47" s="31" t="n">
        <v>43464</v>
      </c>
      <c r="K47" s="31" t="n">
        <v>46385</v>
      </c>
      <c r="L47" s="29" t="s">
        <v>214</v>
      </c>
      <c r="M47" s="32" t="n">
        <f aca="false">Assumptions!$B$33</f>
        <v>13000</v>
      </c>
      <c r="N47" s="30" t="n">
        <f aca="false">IF(L47="No",Assumptions!$B$34,0)</f>
        <v>5000</v>
      </c>
      <c r="O47" s="30" t="n">
        <f aca="false">M47+N47</f>
        <v>18000</v>
      </c>
      <c r="P47" s="30" t="n">
        <f aca="false">G47+Assumptions!$B$37+IF(L47="No",Assumptions!$B$38,0)</f>
        <v>1460</v>
      </c>
    </row>
    <row r="48" customFormat="false" ht="15" hidden="false" customHeight="false" outlineLevel="0" collapsed="false">
      <c r="A48" s="9" t="s">
        <v>262</v>
      </c>
      <c r="B48" s="29" t="s">
        <v>256</v>
      </c>
      <c r="C48" s="9" t="s">
        <v>257</v>
      </c>
      <c r="D48" s="19" t="n">
        <v>1105</v>
      </c>
      <c r="E48" s="9" t="s">
        <v>207</v>
      </c>
      <c r="F48" s="29" t="s">
        <v>208</v>
      </c>
      <c r="G48" s="30" t="n">
        <v>1250</v>
      </c>
      <c r="H48" s="30" t="n">
        <v>1210</v>
      </c>
      <c r="I48" s="30" t="n">
        <f aca="false">IF(F48="Vacant",0,H48-G48)</f>
        <v>-40</v>
      </c>
      <c r="J48" s="31" t="n">
        <v>45543</v>
      </c>
      <c r="K48" s="31" t="n">
        <v>46272</v>
      </c>
      <c r="L48" s="29" t="s">
        <v>214</v>
      </c>
      <c r="M48" s="32" t="n">
        <f aca="false">Assumptions!$B$33</f>
        <v>13000</v>
      </c>
      <c r="N48" s="30" t="n">
        <f aca="false">IF(L48="No",Assumptions!$B$34,0)</f>
        <v>5000</v>
      </c>
      <c r="O48" s="30" t="n">
        <f aca="false">M48+N48</f>
        <v>18000</v>
      </c>
      <c r="P48" s="30" t="n">
        <f aca="false">G48+Assumptions!$B$37+IF(L48="No",Assumptions!$B$38,0)</f>
        <v>1450</v>
      </c>
    </row>
    <row r="49" customFormat="false" ht="15" hidden="false" customHeight="false" outlineLevel="0" collapsed="false">
      <c r="A49" s="9" t="s">
        <v>263</v>
      </c>
      <c r="B49" s="29" t="s">
        <v>256</v>
      </c>
      <c r="C49" s="9" t="s">
        <v>259</v>
      </c>
      <c r="D49" s="19" t="n">
        <v>1182</v>
      </c>
      <c r="E49" s="9" t="s">
        <v>207</v>
      </c>
      <c r="F49" s="29" t="s">
        <v>208</v>
      </c>
      <c r="G49" s="30" t="n">
        <v>1260</v>
      </c>
      <c r="H49" s="30" t="n">
        <v>1257</v>
      </c>
      <c r="I49" s="30" t="n">
        <f aca="false">IF(F49="Vacant",0,H49-G49)</f>
        <v>-3</v>
      </c>
      <c r="J49" s="31" t="n">
        <v>45443</v>
      </c>
      <c r="K49" s="31" t="n">
        <v>46202</v>
      </c>
      <c r="L49" s="29" t="s">
        <v>214</v>
      </c>
      <c r="M49" s="32" t="n">
        <f aca="false">Assumptions!$B$33</f>
        <v>13000</v>
      </c>
      <c r="N49" s="30" t="n">
        <f aca="false">IF(L49="No",Assumptions!$B$34,0)</f>
        <v>5000</v>
      </c>
      <c r="O49" s="30" t="n">
        <f aca="false">M49+N49</f>
        <v>18000</v>
      </c>
      <c r="P49" s="30" t="n">
        <f aca="false">G49+Assumptions!$B$37+IF(L49="No",Assumptions!$B$38,0)</f>
        <v>1460</v>
      </c>
    </row>
    <row r="50" customFormat="false" ht="15" hidden="false" customHeight="false" outlineLevel="0" collapsed="false">
      <c r="A50" s="9" t="s">
        <v>264</v>
      </c>
      <c r="B50" s="29" t="s">
        <v>256</v>
      </c>
      <c r="C50" s="9" t="s">
        <v>259</v>
      </c>
      <c r="D50" s="19" t="n">
        <v>1182</v>
      </c>
      <c r="E50" s="9" t="s">
        <v>207</v>
      </c>
      <c r="F50" s="29" t="s">
        <v>208</v>
      </c>
      <c r="G50" s="30" t="n">
        <v>1260</v>
      </c>
      <c r="H50" s="30" t="n">
        <v>1229</v>
      </c>
      <c r="I50" s="30" t="n">
        <f aca="false">IF(F50="Vacant",0,H50-G50)</f>
        <v>-31</v>
      </c>
      <c r="J50" s="31" t="n">
        <v>45507</v>
      </c>
      <c r="K50" s="31" t="n">
        <v>46236</v>
      </c>
      <c r="L50" s="29" t="s">
        <v>214</v>
      </c>
      <c r="M50" s="32" t="n">
        <f aca="false">Assumptions!$B$33</f>
        <v>13000</v>
      </c>
      <c r="N50" s="30" t="n">
        <f aca="false">IF(L50="No",Assumptions!$B$34,0)</f>
        <v>5000</v>
      </c>
      <c r="O50" s="30" t="n">
        <f aca="false">M50+N50</f>
        <v>18000</v>
      </c>
      <c r="P50" s="30" t="n">
        <f aca="false">G50+Assumptions!$B$37+IF(L50="No",Assumptions!$B$38,0)</f>
        <v>1460</v>
      </c>
    </row>
    <row r="51" customFormat="false" ht="15" hidden="false" customHeight="false" outlineLevel="0" collapsed="false">
      <c r="A51" s="9" t="s">
        <v>265</v>
      </c>
      <c r="B51" s="29" t="s">
        <v>256</v>
      </c>
      <c r="C51" s="9" t="s">
        <v>257</v>
      </c>
      <c r="D51" s="19" t="n">
        <v>1105</v>
      </c>
      <c r="E51" s="9" t="s">
        <v>207</v>
      </c>
      <c r="F51" s="29" t="s">
        <v>208</v>
      </c>
      <c r="G51" s="30" t="n">
        <v>1250</v>
      </c>
      <c r="H51" s="30" t="n">
        <v>1206</v>
      </c>
      <c r="I51" s="30" t="n">
        <f aca="false">IF(F51="Vacant",0,H51-G51)</f>
        <v>-44</v>
      </c>
      <c r="J51" s="31" t="n">
        <v>45460</v>
      </c>
      <c r="K51" s="31" t="n">
        <v>46189</v>
      </c>
      <c r="L51" s="29" t="s">
        <v>214</v>
      </c>
      <c r="M51" s="32" t="n">
        <f aca="false">Assumptions!$B$33</f>
        <v>13000</v>
      </c>
      <c r="N51" s="30" t="n">
        <f aca="false">IF(L51="No",Assumptions!$B$34,0)</f>
        <v>5000</v>
      </c>
      <c r="O51" s="30" t="n">
        <f aca="false">M51+N51</f>
        <v>18000</v>
      </c>
      <c r="P51" s="30" t="n">
        <f aca="false">G51+Assumptions!$B$37+IF(L51="No",Assumptions!$B$38,0)</f>
        <v>1450</v>
      </c>
    </row>
    <row r="52" customFormat="false" ht="15" hidden="false" customHeight="false" outlineLevel="0" collapsed="false">
      <c r="A52" s="9" t="s">
        <v>266</v>
      </c>
      <c r="B52" s="29" t="s">
        <v>256</v>
      </c>
      <c r="C52" s="9" t="s">
        <v>259</v>
      </c>
      <c r="D52" s="19" t="n">
        <v>1182</v>
      </c>
      <c r="E52" s="9" t="s">
        <v>207</v>
      </c>
      <c r="F52" s="29" t="s">
        <v>208</v>
      </c>
      <c r="G52" s="30" t="n">
        <v>1260</v>
      </c>
      <c r="H52" s="30" t="n">
        <v>1257</v>
      </c>
      <c r="I52" s="30" t="n">
        <f aca="false">IF(F52="Vacant",0,H52-G52)</f>
        <v>-3</v>
      </c>
      <c r="J52" s="31" t="n">
        <v>44918</v>
      </c>
      <c r="K52" s="31" t="n">
        <v>46370</v>
      </c>
      <c r="L52" s="29" t="s">
        <v>214</v>
      </c>
      <c r="M52" s="32" t="n">
        <f aca="false">Assumptions!$B$33</f>
        <v>13000</v>
      </c>
      <c r="N52" s="30" t="n">
        <f aca="false">IF(L52="No",Assumptions!$B$34,0)</f>
        <v>5000</v>
      </c>
      <c r="O52" s="30" t="n">
        <f aca="false">M52+N52</f>
        <v>18000</v>
      </c>
      <c r="P52" s="30" t="n">
        <f aca="false">G52+Assumptions!$B$37+IF(L52="No",Assumptions!$B$38,0)</f>
        <v>1460</v>
      </c>
    </row>
    <row r="53" customFormat="false" ht="15" hidden="false" customHeight="false" outlineLevel="0" collapsed="false">
      <c r="A53" s="9" t="s">
        <v>267</v>
      </c>
      <c r="B53" s="29" t="s">
        <v>256</v>
      </c>
      <c r="C53" s="9" t="s">
        <v>257</v>
      </c>
      <c r="D53" s="19" t="n">
        <v>1105</v>
      </c>
      <c r="E53" s="9" t="s">
        <v>207</v>
      </c>
      <c r="F53" s="29" t="s">
        <v>208</v>
      </c>
      <c r="G53" s="30" t="n">
        <v>1250</v>
      </c>
      <c r="H53" s="30" t="n">
        <v>1206</v>
      </c>
      <c r="I53" s="30" t="n">
        <f aca="false">IF(F53="Vacant",0,H53-G53)</f>
        <v>-44</v>
      </c>
      <c r="J53" s="31" t="n">
        <v>45108</v>
      </c>
      <c r="K53" s="31" t="n">
        <v>46203</v>
      </c>
      <c r="L53" s="29" t="s">
        <v>214</v>
      </c>
      <c r="M53" s="32" t="n">
        <f aca="false">Assumptions!$B$33</f>
        <v>13000</v>
      </c>
      <c r="N53" s="30" t="n">
        <f aca="false">IF(L53="No",Assumptions!$B$34,0)</f>
        <v>5000</v>
      </c>
      <c r="O53" s="30" t="n">
        <f aca="false">M53+N53</f>
        <v>18000</v>
      </c>
      <c r="P53" s="30" t="n">
        <f aca="false">G53+Assumptions!$B$37+IF(L53="No",Assumptions!$B$38,0)</f>
        <v>1450</v>
      </c>
    </row>
    <row r="54" customFormat="false" ht="15" hidden="false" customHeight="false" outlineLevel="0" collapsed="false">
      <c r="A54" s="9" t="s">
        <v>268</v>
      </c>
      <c r="B54" s="29" t="s">
        <v>256</v>
      </c>
      <c r="C54" s="9" t="s">
        <v>259</v>
      </c>
      <c r="D54" s="19" t="n">
        <v>1182</v>
      </c>
      <c r="E54" s="9" t="s">
        <v>207</v>
      </c>
      <c r="F54" s="29" t="s">
        <v>208</v>
      </c>
      <c r="G54" s="30" t="n">
        <v>1260</v>
      </c>
      <c r="H54" s="30" t="n">
        <v>1257</v>
      </c>
      <c r="I54" s="30" t="n">
        <f aca="false">IF(F54="Vacant",0,H54-G54)</f>
        <v>-3</v>
      </c>
      <c r="J54" s="31" t="n">
        <v>44910</v>
      </c>
      <c r="K54" s="31" t="n">
        <v>46370</v>
      </c>
      <c r="L54" s="29" t="s">
        <v>214</v>
      </c>
      <c r="M54" s="32" t="n">
        <f aca="false">Assumptions!$B$33</f>
        <v>13000</v>
      </c>
      <c r="N54" s="30" t="n">
        <f aca="false">IF(L54="No",Assumptions!$B$34,0)</f>
        <v>5000</v>
      </c>
      <c r="O54" s="30" t="n">
        <f aca="false">M54+N54</f>
        <v>18000</v>
      </c>
      <c r="P54" s="30" t="n">
        <f aca="false">G54+Assumptions!$B$37+IF(L54="No",Assumptions!$B$38,0)</f>
        <v>1460</v>
      </c>
    </row>
    <row r="55" customFormat="false" ht="15" hidden="false" customHeight="false" outlineLevel="0" collapsed="false">
      <c r="A55" s="9" t="s">
        <v>269</v>
      </c>
      <c r="B55" s="29" t="s">
        <v>256</v>
      </c>
      <c r="C55" s="9" t="s">
        <v>257</v>
      </c>
      <c r="D55" s="19" t="n">
        <v>1105</v>
      </c>
      <c r="E55" s="9" t="s">
        <v>207</v>
      </c>
      <c r="F55" s="29" t="s">
        <v>208</v>
      </c>
      <c r="G55" s="30" t="n">
        <v>1250</v>
      </c>
      <c r="H55" s="30" t="n">
        <v>1212</v>
      </c>
      <c r="I55" s="30" t="n">
        <f aca="false">IF(F55="Vacant",0,H55-G55)</f>
        <v>-38</v>
      </c>
      <c r="J55" s="31" t="n">
        <v>46081</v>
      </c>
      <c r="K55" s="31" t="n">
        <v>46473</v>
      </c>
      <c r="L55" s="29" t="s">
        <v>214</v>
      </c>
      <c r="M55" s="32" t="n">
        <f aca="false">Assumptions!$B$33</f>
        <v>13000</v>
      </c>
      <c r="N55" s="30" t="n">
        <f aca="false">IF(L55="No",Assumptions!$B$34,0)</f>
        <v>5000</v>
      </c>
      <c r="O55" s="30" t="n">
        <f aca="false">M55+N55</f>
        <v>18000</v>
      </c>
      <c r="P55" s="30" t="n">
        <f aca="false">G55+Assumptions!$B$37+IF(L55="No",Assumptions!$B$38,0)</f>
        <v>1450</v>
      </c>
    </row>
    <row r="56" customFormat="false" ht="15" hidden="false" customHeight="false" outlineLevel="0" collapsed="false">
      <c r="A56" s="9" t="s">
        <v>270</v>
      </c>
      <c r="B56" s="29" t="s">
        <v>256</v>
      </c>
      <c r="C56" s="9" t="s">
        <v>257</v>
      </c>
      <c r="D56" s="19" t="n">
        <v>1105</v>
      </c>
      <c r="E56" s="9" t="s">
        <v>207</v>
      </c>
      <c r="F56" s="29" t="s">
        <v>208</v>
      </c>
      <c r="G56" s="30" t="n">
        <v>1250</v>
      </c>
      <c r="H56" s="30" t="n">
        <v>1169</v>
      </c>
      <c r="I56" s="30" t="n">
        <f aca="false">IF(F56="Vacant",0,H56-G56)</f>
        <v>-81</v>
      </c>
      <c r="J56" s="31" t="n">
        <v>44413</v>
      </c>
      <c r="K56" s="31" t="n">
        <v>46238</v>
      </c>
      <c r="L56" s="29" t="s">
        <v>214</v>
      </c>
      <c r="M56" s="32" t="n">
        <f aca="false">Assumptions!$B$33</f>
        <v>13000</v>
      </c>
      <c r="N56" s="30" t="n">
        <f aca="false">IF(L56="No",Assumptions!$B$34,0)</f>
        <v>5000</v>
      </c>
      <c r="O56" s="30" t="n">
        <f aca="false">M56+N56</f>
        <v>18000</v>
      </c>
      <c r="P56" s="30" t="n">
        <f aca="false">G56+Assumptions!$B$37+IF(L56="No",Assumptions!$B$38,0)</f>
        <v>1450</v>
      </c>
    </row>
    <row r="57" customFormat="false" ht="15" hidden="false" customHeight="false" outlineLevel="0" collapsed="false">
      <c r="A57" s="9" t="s">
        <v>271</v>
      </c>
      <c r="B57" s="29" t="s">
        <v>256</v>
      </c>
      <c r="C57" s="9" t="s">
        <v>259</v>
      </c>
      <c r="D57" s="19" t="n">
        <v>1182</v>
      </c>
      <c r="E57" s="9" t="s">
        <v>207</v>
      </c>
      <c r="F57" s="29" t="s">
        <v>208</v>
      </c>
      <c r="G57" s="30" t="n">
        <v>1260</v>
      </c>
      <c r="H57" s="30" t="n">
        <v>1257</v>
      </c>
      <c r="I57" s="30" t="n">
        <f aca="false">IF(F57="Vacant",0,H57-G57)</f>
        <v>-3</v>
      </c>
      <c r="J57" s="31" t="n">
        <v>46142</v>
      </c>
      <c r="K57" s="31" t="n">
        <v>46536</v>
      </c>
      <c r="L57" s="29" t="s">
        <v>214</v>
      </c>
      <c r="M57" s="32" t="n">
        <f aca="false">Assumptions!$B$33</f>
        <v>13000</v>
      </c>
      <c r="N57" s="30" t="n">
        <f aca="false">IF(L57="No",Assumptions!$B$34,0)</f>
        <v>5000</v>
      </c>
      <c r="O57" s="30" t="n">
        <f aca="false">M57+N57</f>
        <v>18000</v>
      </c>
      <c r="P57" s="30" t="n">
        <f aca="false">G57+Assumptions!$B$37+IF(L57="No",Assumptions!$B$38,0)</f>
        <v>1460</v>
      </c>
    </row>
    <row r="58" customFormat="false" ht="15" hidden="false" customHeight="false" outlineLevel="0" collapsed="false">
      <c r="A58" s="9" t="s">
        <v>272</v>
      </c>
      <c r="B58" s="29" t="s">
        <v>256</v>
      </c>
      <c r="C58" s="9" t="s">
        <v>257</v>
      </c>
      <c r="D58" s="19" t="n">
        <v>1105</v>
      </c>
      <c r="E58" s="9" t="s">
        <v>207</v>
      </c>
      <c r="F58" s="29" t="s">
        <v>208</v>
      </c>
      <c r="G58" s="30" t="n">
        <v>1250</v>
      </c>
      <c r="H58" s="30" t="n">
        <v>1212</v>
      </c>
      <c r="I58" s="30" t="n">
        <f aca="false">IF(F58="Vacant",0,H58-G58)</f>
        <v>-38</v>
      </c>
      <c r="J58" s="31" t="n">
        <v>43040</v>
      </c>
      <c r="K58" s="31" t="n">
        <v>46326</v>
      </c>
      <c r="L58" s="29" t="s">
        <v>214</v>
      </c>
      <c r="M58" s="32" t="n">
        <f aca="false">Assumptions!$B$33</f>
        <v>13000</v>
      </c>
      <c r="N58" s="30" t="n">
        <f aca="false">IF(L58="No",Assumptions!$B$34,0)</f>
        <v>5000</v>
      </c>
      <c r="O58" s="30" t="n">
        <f aca="false">M58+N58</f>
        <v>18000</v>
      </c>
      <c r="P58" s="30" t="n">
        <f aca="false">G58+Assumptions!$B$37+IF(L58="No",Assumptions!$B$38,0)</f>
        <v>1450</v>
      </c>
    </row>
    <row r="59" customFormat="false" ht="15" hidden="false" customHeight="false" outlineLevel="0" collapsed="false">
      <c r="A59" s="9" t="s">
        <v>273</v>
      </c>
      <c r="B59" s="29" t="s">
        <v>256</v>
      </c>
      <c r="C59" s="9" t="s">
        <v>259</v>
      </c>
      <c r="D59" s="19" t="n">
        <v>1182</v>
      </c>
      <c r="E59" s="9" t="s">
        <v>207</v>
      </c>
      <c r="F59" s="29" t="s">
        <v>208</v>
      </c>
      <c r="G59" s="30" t="n">
        <v>1260</v>
      </c>
      <c r="H59" s="30" t="n">
        <v>1257</v>
      </c>
      <c r="I59" s="30" t="n">
        <f aca="false">IF(F59="Vacant",0,H59-G59)</f>
        <v>-3</v>
      </c>
      <c r="J59" s="31" t="n">
        <v>45682</v>
      </c>
      <c r="K59" s="31" t="n">
        <v>46411</v>
      </c>
      <c r="L59" s="29" t="s">
        <v>214</v>
      </c>
      <c r="M59" s="32" t="n">
        <f aca="false">Assumptions!$B$33</f>
        <v>13000</v>
      </c>
      <c r="N59" s="30" t="n">
        <f aca="false">IF(L59="No",Assumptions!$B$34,0)</f>
        <v>5000</v>
      </c>
      <c r="O59" s="30" t="n">
        <f aca="false">M59+N59</f>
        <v>18000</v>
      </c>
      <c r="P59" s="30" t="n">
        <f aca="false">G59+Assumptions!$B$37+IF(L59="No",Assumptions!$B$38,0)</f>
        <v>1460</v>
      </c>
    </row>
    <row r="60" customFormat="false" ht="15" hidden="false" customHeight="false" outlineLevel="0" collapsed="false">
      <c r="A60" s="9" t="s">
        <v>274</v>
      </c>
      <c r="B60" s="29" t="s">
        <v>256</v>
      </c>
      <c r="C60" s="9" t="s">
        <v>257</v>
      </c>
      <c r="D60" s="19" t="n">
        <v>1105</v>
      </c>
      <c r="E60" s="9" t="s">
        <v>207</v>
      </c>
      <c r="F60" s="29" t="s">
        <v>208</v>
      </c>
      <c r="G60" s="30" t="n">
        <v>1250</v>
      </c>
      <c r="H60" s="30" t="n">
        <v>1212</v>
      </c>
      <c r="I60" s="30" t="n">
        <f aca="false">IF(F60="Vacant",0,H60-G60)</f>
        <v>-38</v>
      </c>
      <c r="J60" s="31" t="n">
        <v>45633</v>
      </c>
      <c r="K60" s="31" t="n">
        <v>46393</v>
      </c>
      <c r="L60" s="29" t="s">
        <v>214</v>
      </c>
      <c r="M60" s="32" t="n">
        <f aca="false">Assumptions!$B$33</f>
        <v>13000</v>
      </c>
      <c r="N60" s="30" t="n">
        <f aca="false">IF(L60="No",Assumptions!$B$34,0)</f>
        <v>5000</v>
      </c>
      <c r="O60" s="30" t="n">
        <f aca="false">M60+N60</f>
        <v>18000</v>
      </c>
      <c r="P60" s="30" t="n">
        <f aca="false">G60+Assumptions!$B$37+IF(L60="No",Assumptions!$B$38,0)</f>
        <v>1450</v>
      </c>
    </row>
    <row r="61" customFormat="false" ht="15" hidden="false" customHeight="false" outlineLevel="0" collapsed="false">
      <c r="A61" s="9" t="s">
        <v>275</v>
      </c>
      <c r="B61" s="29" t="s">
        <v>256</v>
      </c>
      <c r="C61" s="9" t="s">
        <v>259</v>
      </c>
      <c r="D61" s="19" t="n">
        <v>1182</v>
      </c>
      <c r="E61" s="9" t="s">
        <v>207</v>
      </c>
      <c r="F61" s="29" t="s">
        <v>208</v>
      </c>
      <c r="G61" s="30" t="n">
        <v>1260</v>
      </c>
      <c r="H61" s="30" t="n">
        <v>1257</v>
      </c>
      <c r="I61" s="30" t="n">
        <f aca="false">IF(F61="Vacant",0,H61-G61)</f>
        <v>-3</v>
      </c>
      <c r="J61" s="31" t="n">
        <v>41727</v>
      </c>
      <c r="K61" s="31" t="n">
        <v>46324</v>
      </c>
      <c r="L61" s="29" t="s">
        <v>214</v>
      </c>
      <c r="M61" s="32" t="n">
        <f aca="false">Assumptions!$B$33</f>
        <v>13000</v>
      </c>
      <c r="N61" s="30" t="n">
        <f aca="false">IF(L61="No",Assumptions!$B$34,0)</f>
        <v>5000</v>
      </c>
      <c r="O61" s="30" t="n">
        <f aca="false">M61+N61</f>
        <v>18000</v>
      </c>
      <c r="P61" s="30" t="n">
        <f aca="false">G61+Assumptions!$B$37+IF(L61="No",Assumptions!$B$38,0)</f>
        <v>1460</v>
      </c>
    </row>
    <row r="62" customFormat="false" ht="15" hidden="false" customHeight="false" outlineLevel="0" collapsed="false">
      <c r="A62" s="9" t="s">
        <v>276</v>
      </c>
      <c r="B62" s="29" t="s">
        <v>256</v>
      </c>
      <c r="C62" s="9" t="s">
        <v>257</v>
      </c>
      <c r="D62" s="19" t="n">
        <v>1105</v>
      </c>
      <c r="E62" s="9" t="s">
        <v>207</v>
      </c>
      <c r="F62" s="29" t="s">
        <v>208</v>
      </c>
      <c r="G62" s="30" t="n">
        <v>1250</v>
      </c>
      <c r="H62" s="30" t="n">
        <v>1212</v>
      </c>
      <c r="I62" s="30" t="n">
        <f aca="false">IF(F62="Vacant",0,H62-G62)</f>
        <v>-38</v>
      </c>
      <c r="J62" s="31" t="n">
        <v>45668</v>
      </c>
      <c r="K62" s="31" t="n">
        <v>46275</v>
      </c>
      <c r="L62" s="29" t="s">
        <v>214</v>
      </c>
      <c r="M62" s="32" t="n">
        <f aca="false">Assumptions!$B$33</f>
        <v>13000</v>
      </c>
      <c r="N62" s="30" t="n">
        <f aca="false">IF(L62="No",Assumptions!$B$34,0)</f>
        <v>5000</v>
      </c>
      <c r="O62" s="30" t="n">
        <f aca="false">M62+N62</f>
        <v>18000</v>
      </c>
      <c r="P62" s="30" t="n">
        <f aca="false">G62+Assumptions!$B$37+IF(L62="No",Assumptions!$B$38,0)</f>
        <v>1450</v>
      </c>
    </row>
    <row r="63" customFormat="false" ht="15" hidden="false" customHeight="false" outlineLevel="0" collapsed="false">
      <c r="A63" s="9" t="s">
        <v>277</v>
      </c>
      <c r="B63" s="29" t="s">
        <v>256</v>
      </c>
      <c r="C63" s="9" t="s">
        <v>259</v>
      </c>
      <c r="D63" s="19" t="n">
        <v>1182</v>
      </c>
      <c r="E63" s="9" t="s">
        <v>207</v>
      </c>
      <c r="F63" s="29" t="s">
        <v>208</v>
      </c>
      <c r="G63" s="30" t="n">
        <v>1260</v>
      </c>
      <c r="H63" s="30" t="n">
        <v>1214</v>
      </c>
      <c r="I63" s="30" t="n">
        <f aca="false">IF(F63="Vacant",0,H63-G63)</f>
        <v>-46</v>
      </c>
      <c r="J63" s="31" t="n">
        <v>45167</v>
      </c>
      <c r="K63" s="31" t="n">
        <v>46535</v>
      </c>
      <c r="L63" s="29" t="s">
        <v>214</v>
      </c>
      <c r="M63" s="32" t="n">
        <f aca="false">Assumptions!$B$33</f>
        <v>13000</v>
      </c>
      <c r="N63" s="30" t="n">
        <f aca="false">IF(L63="No",Assumptions!$B$34,0)</f>
        <v>5000</v>
      </c>
      <c r="O63" s="30" t="n">
        <f aca="false">M63+N63</f>
        <v>18000</v>
      </c>
      <c r="P63" s="30" t="n">
        <f aca="false">G63+Assumptions!$B$37+IF(L63="No",Assumptions!$B$38,0)</f>
        <v>1460</v>
      </c>
    </row>
    <row r="64" customFormat="false" ht="15" hidden="false" customHeight="false" outlineLevel="0" collapsed="false">
      <c r="A64" s="9" t="s">
        <v>278</v>
      </c>
      <c r="B64" s="29" t="s">
        <v>256</v>
      </c>
      <c r="C64" s="9" t="s">
        <v>257</v>
      </c>
      <c r="D64" s="19" t="n">
        <v>1105</v>
      </c>
      <c r="E64" s="9" t="s">
        <v>207</v>
      </c>
      <c r="F64" s="29" t="s">
        <v>208</v>
      </c>
      <c r="G64" s="30" t="n">
        <v>1250</v>
      </c>
      <c r="H64" s="30" t="n">
        <v>1212</v>
      </c>
      <c r="I64" s="30" t="n">
        <f aca="false">IF(F64="Vacant",0,H64-G64)</f>
        <v>-38</v>
      </c>
      <c r="J64" s="31" t="n">
        <v>45366</v>
      </c>
      <c r="K64" s="31"/>
      <c r="L64" s="29" t="s">
        <v>214</v>
      </c>
      <c r="M64" s="32" t="n">
        <f aca="false">Assumptions!$B$33</f>
        <v>13000</v>
      </c>
      <c r="N64" s="30" t="n">
        <f aca="false">IF(L64="No",Assumptions!$B$34,0)</f>
        <v>5000</v>
      </c>
      <c r="O64" s="30" t="n">
        <f aca="false">M64+N64</f>
        <v>18000</v>
      </c>
      <c r="P64" s="30" t="n">
        <f aca="false">G64+Assumptions!$B$37+IF(L64="No",Assumptions!$B$38,0)</f>
        <v>1450</v>
      </c>
    </row>
    <row r="65" customFormat="false" ht="15" hidden="false" customHeight="false" outlineLevel="0" collapsed="false">
      <c r="A65" s="9" t="s">
        <v>279</v>
      </c>
      <c r="B65" s="29" t="s">
        <v>256</v>
      </c>
      <c r="C65" s="9" t="s">
        <v>259</v>
      </c>
      <c r="D65" s="19" t="n">
        <v>1182</v>
      </c>
      <c r="E65" s="9" t="s">
        <v>207</v>
      </c>
      <c r="F65" s="29" t="s">
        <v>208</v>
      </c>
      <c r="G65" s="30" t="n">
        <v>1260</v>
      </c>
      <c r="H65" s="30" t="n">
        <v>1257</v>
      </c>
      <c r="I65" s="30" t="n">
        <f aca="false">IF(F65="Vacant",0,H65-G65)</f>
        <v>-3</v>
      </c>
      <c r="J65" s="31" t="n">
        <v>46099</v>
      </c>
      <c r="K65" s="31" t="n">
        <v>46463</v>
      </c>
      <c r="L65" s="29" t="s">
        <v>214</v>
      </c>
      <c r="M65" s="32" t="n">
        <f aca="false">Assumptions!$B$33</f>
        <v>13000</v>
      </c>
      <c r="N65" s="30" t="n">
        <f aca="false">IF(L65="No",Assumptions!$B$34,0)</f>
        <v>5000</v>
      </c>
      <c r="O65" s="30" t="n">
        <f aca="false">M65+N65</f>
        <v>18000</v>
      </c>
      <c r="P65" s="30" t="n">
        <f aca="false">G65+Assumptions!$B$37+IF(L65="No",Assumptions!$B$38,0)</f>
        <v>1460</v>
      </c>
    </row>
    <row r="66" customFormat="false" ht="15" hidden="false" customHeight="false" outlineLevel="0" collapsed="false">
      <c r="A66" s="9" t="s">
        <v>280</v>
      </c>
      <c r="B66" s="29" t="s">
        <v>256</v>
      </c>
      <c r="C66" s="9" t="s">
        <v>259</v>
      </c>
      <c r="D66" s="19" t="n">
        <v>1182</v>
      </c>
      <c r="E66" s="9" t="s">
        <v>207</v>
      </c>
      <c r="F66" s="29" t="s">
        <v>208</v>
      </c>
      <c r="G66" s="30" t="n">
        <v>1260</v>
      </c>
      <c r="H66" s="30" t="n">
        <v>1257</v>
      </c>
      <c r="I66" s="30" t="n">
        <f aca="false">IF(F66="Vacant",0,H66-G66)</f>
        <v>-3</v>
      </c>
      <c r="J66" s="31" t="n">
        <v>45203</v>
      </c>
      <c r="K66" s="31" t="n">
        <v>46298</v>
      </c>
      <c r="L66" s="29" t="s">
        <v>214</v>
      </c>
      <c r="M66" s="32" t="n">
        <f aca="false">Assumptions!$B$33</f>
        <v>13000</v>
      </c>
      <c r="N66" s="30" t="n">
        <f aca="false">IF(L66="No",Assumptions!$B$34,0)</f>
        <v>5000</v>
      </c>
      <c r="O66" s="30" t="n">
        <f aca="false">M66+N66</f>
        <v>18000</v>
      </c>
      <c r="P66" s="30" t="n">
        <f aca="false">G66+Assumptions!$B$37+IF(L66="No",Assumptions!$B$38,0)</f>
        <v>1460</v>
      </c>
    </row>
    <row r="67" customFormat="false" ht="15" hidden="false" customHeight="false" outlineLevel="0" collapsed="false">
      <c r="A67" s="9" t="s">
        <v>281</v>
      </c>
      <c r="B67" s="29" t="s">
        <v>256</v>
      </c>
      <c r="C67" s="9" t="s">
        <v>257</v>
      </c>
      <c r="D67" s="19" t="n">
        <v>1105</v>
      </c>
      <c r="E67" s="9" t="s">
        <v>207</v>
      </c>
      <c r="F67" s="29" t="s">
        <v>208</v>
      </c>
      <c r="G67" s="30" t="n">
        <v>1250</v>
      </c>
      <c r="H67" s="30" t="n">
        <v>1212</v>
      </c>
      <c r="I67" s="30" t="n">
        <f aca="false">IF(F67="Vacant",0,H67-G67)</f>
        <v>-38</v>
      </c>
      <c r="J67" s="31" t="n">
        <v>46203</v>
      </c>
      <c r="K67" s="31" t="n">
        <v>46597</v>
      </c>
      <c r="L67" s="29" t="s">
        <v>214</v>
      </c>
      <c r="M67" s="32" t="n">
        <f aca="false">Assumptions!$B$33</f>
        <v>13000</v>
      </c>
      <c r="N67" s="30" t="n">
        <f aca="false">IF(L67="No",Assumptions!$B$34,0)</f>
        <v>5000</v>
      </c>
      <c r="O67" s="30" t="n">
        <f aca="false">M67+N67</f>
        <v>18000</v>
      </c>
      <c r="P67" s="30" t="n">
        <f aca="false">G67+Assumptions!$B$37+IF(L67="No",Assumptions!$B$38,0)</f>
        <v>1450</v>
      </c>
    </row>
    <row r="68" customFormat="false" ht="15" hidden="false" customHeight="false" outlineLevel="0" collapsed="false">
      <c r="A68" s="9" t="s">
        <v>282</v>
      </c>
      <c r="B68" s="29" t="s">
        <v>256</v>
      </c>
      <c r="C68" s="9" t="s">
        <v>259</v>
      </c>
      <c r="D68" s="19" t="n">
        <v>1182</v>
      </c>
      <c r="E68" s="9" t="s">
        <v>207</v>
      </c>
      <c r="F68" s="29" t="s">
        <v>208</v>
      </c>
      <c r="G68" s="30" t="n">
        <v>1260</v>
      </c>
      <c r="H68" s="30" t="n">
        <v>1257</v>
      </c>
      <c r="I68" s="30" t="n">
        <f aca="false">IF(F68="Vacant",0,H68-G68)</f>
        <v>-3</v>
      </c>
      <c r="J68" s="31" t="n">
        <v>45815</v>
      </c>
      <c r="K68" s="31" t="n">
        <v>46544</v>
      </c>
      <c r="L68" s="29" t="s">
        <v>214</v>
      </c>
      <c r="M68" s="32" t="n">
        <f aca="false">Assumptions!$B$33</f>
        <v>13000</v>
      </c>
      <c r="N68" s="30" t="n">
        <f aca="false">IF(L68="No",Assumptions!$B$34,0)</f>
        <v>5000</v>
      </c>
      <c r="O68" s="30" t="n">
        <f aca="false">M68+N68</f>
        <v>18000</v>
      </c>
      <c r="P68" s="30" t="n">
        <f aca="false">G68+Assumptions!$B$37+IF(L68="No",Assumptions!$B$38,0)</f>
        <v>1460</v>
      </c>
    </row>
    <row r="69" customFormat="false" ht="15" hidden="false" customHeight="false" outlineLevel="0" collapsed="false">
      <c r="A69" s="9" t="s">
        <v>283</v>
      </c>
      <c r="B69" s="29" t="s">
        <v>256</v>
      </c>
      <c r="C69" s="9" t="s">
        <v>257</v>
      </c>
      <c r="D69" s="19" t="n">
        <v>1105</v>
      </c>
      <c r="E69" s="9" t="s">
        <v>207</v>
      </c>
      <c r="F69" s="29" t="s">
        <v>208</v>
      </c>
      <c r="G69" s="30" t="n">
        <v>1250</v>
      </c>
      <c r="H69" s="30" t="n">
        <v>1212</v>
      </c>
      <c r="I69" s="30" t="n">
        <f aca="false">IF(F69="Vacant",0,H69-G69)</f>
        <v>-38</v>
      </c>
      <c r="J69" s="31" t="n">
        <v>45801</v>
      </c>
      <c r="K69" s="31" t="n">
        <v>46530</v>
      </c>
      <c r="L69" s="29" t="s">
        <v>214</v>
      </c>
      <c r="M69" s="32" t="n">
        <f aca="false">Assumptions!$B$33</f>
        <v>13000</v>
      </c>
      <c r="N69" s="30" t="n">
        <f aca="false">IF(L69="No",Assumptions!$B$34,0)</f>
        <v>5000</v>
      </c>
      <c r="O69" s="30" t="n">
        <f aca="false">M69+N69</f>
        <v>18000</v>
      </c>
      <c r="P69" s="30" t="n">
        <f aca="false">G69+Assumptions!$B$37+IF(L69="No",Assumptions!$B$38,0)</f>
        <v>1450</v>
      </c>
    </row>
    <row r="70" customFormat="false" ht="15" hidden="false" customHeight="false" outlineLevel="0" collapsed="false">
      <c r="A70" s="9" t="s">
        <v>284</v>
      </c>
      <c r="B70" s="29" t="s">
        <v>256</v>
      </c>
      <c r="C70" s="9" t="s">
        <v>257</v>
      </c>
      <c r="D70" s="19" t="n">
        <v>1105</v>
      </c>
      <c r="E70" s="9" t="s">
        <v>207</v>
      </c>
      <c r="F70" s="29" t="s">
        <v>208</v>
      </c>
      <c r="G70" s="30" t="n">
        <v>1250</v>
      </c>
      <c r="H70" s="30" t="n">
        <v>1212</v>
      </c>
      <c r="I70" s="30" t="n">
        <f aca="false">IF(F70="Vacant",0,H70-G70)</f>
        <v>-38</v>
      </c>
      <c r="J70" s="31" t="n">
        <v>44561</v>
      </c>
      <c r="K70" s="31" t="n">
        <v>46386</v>
      </c>
      <c r="L70" s="29" t="s">
        <v>214</v>
      </c>
      <c r="M70" s="32" t="n">
        <f aca="false">Assumptions!$B$33</f>
        <v>13000</v>
      </c>
      <c r="N70" s="30" t="n">
        <f aca="false">IF(L70="No",Assumptions!$B$34,0)</f>
        <v>5000</v>
      </c>
      <c r="O70" s="30" t="n">
        <f aca="false">M70+N70</f>
        <v>18000</v>
      </c>
      <c r="P70" s="30" t="n">
        <f aca="false">G70+Assumptions!$B$37+IF(L70="No",Assumptions!$B$38,0)</f>
        <v>1450</v>
      </c>
    </row>
    <row r="71" customFormat="false" ht="15" hidden="false" customHeight="false" outlineLevel="0" collapsed="false">
      <c r="A71" s="9" t="s">
        <v>285</v>
      </c>
      <c r="B71" s="29" t="s">
        <v>256</v>
      </c>
      <c r="C71" s="9" t="s">
        <v>259</v>
      </c>
      <c r="D71" s="19" t="n">
        <v>1182</v>
      </c>
      <c r="E71" s="9" t="s">
        <v>207</v>
      </c>
      <c r="F71" s="29" t="s">
        <v>208</v>
      </c>
      <c r="G71" s="30" t="n">
        <v>1260</v>
      </c>
      <c r="H71" s="30" t="n">
        <v>1257</v>
      </c>
      <c r="I71" s="30" t="n">
        <f aca="false">IF(F71="Vacant",0,H71-G71)</f>
        <v>-3</v>
      </c>
      <c r="J71" s="31" t="n">
        <v>45891</v>
      </c>
      <c r="K71" s="31" t="n">
        <v>46620</v>
      </c>
      <c r="L71" s="29" t="s">
        <v>214</v>
      </c>
      <c r="M71" s="32" t="n">
        <f aca="false">Assumptions!$B$33</f>
        <v>13000</v>
      </c>
      <c r="N71" s="30" t="n">
        <f aca="false">IF(L71="No",Assumptions!$B$34,0)</f>
        <v>5000</v>
      </c>
      <c r="O71" s="30" t="n">
        <f aca="false">M71+N71</f>
        <v>18000</v>
      </c>
      <c r="P71" s="30" t="n">
        <f aca="false">G71+Assumptions!$B$37+IF(L71="No",Assumptions!$B$38,0)</f>
        <v>1460</v>
      </c>
    </row>
    <row r="72" customFormat="false" ht="15" hidden="false" customHeight="false" outlineLevel="0" collapsed="false">
      <c r="A72" s="9" t="s">
        <v>286</v>
      </c>
      <c r="B72" s="29" t="s">
        <v>256</v>
      </c>
      <c r="C72" s="9" t="s">
        <v>257</v>
      </c>
      <c r="D72" s="19" t="n">
        <v>1105</v>
      </c>
      <c r="E72" s="9" t="s">
        <v>207</v>
      </c>
      <c r="F72" s="29" t="s">
        <v>208</v>
      </c>
      <c r="G72" s="30" t="n">
        <v>1250</v>
      </c>
      <c r="H72" s="30" t="n">
        <v>1204</v>
      </c>
      <c r="I72" s="30" t="n">
        <f aca="false">IF(F72="Vacant",0,H72-G72)</f>
        <v>-46</v>
      </c>
      <c r="J72" s="31" t="n">
        <v>44883</v>
      </c>
      <c r="K72" s="31" t="n">
        <v>46343</v>
      </c>
      <c r="L72" s="29" t="s">
        <v>214</v>
      </c>
      <c r="M72" s="32" t="n">
        <f aca="false">Assumptions!$B$33</f>
        <v>13000</v>
      </c>
      <c r="N72" s="30" t="n">
        <f aca="false">IF(L72="No",Assumptions!$B$34,0)</f>
        <v>5000</v>
      </c>
      <c r="O72" s="30" t="n">
        <f aca="false">M72+N72</f>
        <v>18000</v>
      </c>
      <c r="P72" s="30" t="n">
        <f aca="false">G72+Assumptions!$B$37+IF(L72="No",Assumptions!$B$38,0)</f>
        <v>1450</v>
      </c>
    </row>
    <row r="73" customFormat="false" ht="15" hidden="false" customHeight="false" outlineLevel="0" collapsed="false">
      <c r="A73" s="9" t="s">
        <v>287</v>
      </c>
      <c r="B73" s="29" t="s">
        <v>256</v>
      </c>
      <c r="C73" s="9" t="s">
        <v>259</v>
      </c>
      <c r="D73" s="19" t="n">
        <v>1182</v>
      </c>
      <c r="E73" s="9" t="s">
        <v>207</v>
      </c>
      <c r="F73" s="29" t="s">
        <v>208</v>
      </c>
      <c r="G73" s="30" t="n">
        <v>1260</v>
      </c>
      <c r="H73" s="30" t="n">
        <v>1242</v>
      </c>
      <c r="I73" s="30" t="n">
        <f aca="false">IF(F73="Vacant",0,H73-G73)</f>
        <v>-18</v>
      </c>
      <c r="J73" s="31" t="n">
        <v>45495</v>
      </c>
      <c r="K73" s="31" t="n">
        <v>46224</v>
      </c>
      <c r="L73" s="29" t="s">
        <v>214</v>
      </c>
      <c r="M73" s="32" t="n">
        <f aca="false">Assumptions!$B$33</f>
        <v>13000</v>
      </c>
      <c r="N73" s="30" t="n">
        <f aca="false">IF(L73="No",Assumptions!$B$34,0)</f>
        <v>5000</v>
      </c>
      <c r="O73" s="30" t="n">
        <f aca="false">M73+N73</f>
        <v>18000</v>
      </c>
      <c r="P73" s="30" t="n">
        <f aca="false">G73+Assumptions!$B$37+IF(L73="No",Assumptions!$B$38,0)</f>
        <v>1460</v>
      </c>
    </row>
    <row r="74" customFormat="false" ht="15" hidden="false" customHeight="false" outlineLevel="0" collapsed="false">
      <c r="A74" s="9" t="s">
        <v>288</v>
      </c>
      <c r="B74" s="29" t="s">
        <v>256</v>
      </c>
      <c r="C74" s="9" t="s">
        <v>259</v>
      </c>
      <c r="D74" s="19" t="n">
        <v>1182</v>
      </c>
      <c r="E74" s="9" t="s">
        <v>207</v>
      </c>
      <c r="F74" s="29" t="s">
        <v>208</v>
      </c>
      <c r="G74" s="30" t="n">
        <v>1260</v>
      </c>
      <c r="H74" s="30" t="n">
        <v>1257</v>
      </c>
      <c r="I74" s="30" t="n">
        <f aca="false">IF(F74="Vacant",0,H74-G74)</f>
        <v>-3</v>
      </c>
      <c r="J74" s="31" t="n">
        <v>45278</v>
      </c>
      <c r="K74" s="31" t="n">
        <v>46373</v>
      </c>
      <c r="L74" s="29" t="s">
        <v>214</v>
      </c>
      <c r="M74" s="32" t="n">
        <f aca="false">Assumptions!$B$33</f>
        <v>13000</v>
      </c>
      <c r="N74" s="30" t="n">
        <f aca="false">IF(L74="No",Assumptions!$B$34,0)</f>
        <v>5000</v>
      </c>
      <c r="O74" s="30" t="n">
        <f aca="false">M74+N74</f>
        <v>18000</v>
      </c>
      <c r="P74" s="30" t="n">
        <f aca="false">G74+Assumptions!$B$37+IF(L74="No",Assumptions!$B$38,0)</f>
        <v>1460</v>
      </c>
    </row>
    <row r="75" customFormat="false" ht="15" hidden="false" customHeight="false" outlineLevel="0" collapsed="false">
      <c r="A75" s="9" t="s">
        <v>289</v>
      </c>
      <c r="B75" s="29" t="s">
        <v>256</v>
      </c>
      <c r="C75" s="9" t="s">
        <v>259</v>
      </c>
      <c r="D75" s="19" t="n">
        <v>1182</v>
      </c>
      <c r="E75" s="9" t="s">
        <v>207</v>
      </c>
      <c r="F75" s="29" t="s">
        <v>208</v>
      </c>
      <c r="G75" s="30" t="n">
        <v>1260</v>
      </c>
      <c r="H75" s="30" t="n">
        <v>1257</v>
      </c>
      <c r="I75" s="30" t="n">
        <f aca="false">IF(F75="Vacant",0,H75-G75)</f>
        <v>-3</v>
      </c>
      <c r="J75" s="31" t="n">
        <v>45212</v>
      </c>
      <c r="K75" s="31" t="n">
        <v>46307</v>
      </c>
      <c r="L75" s="29" t="s">
        <v>214</v>
      </c>
      <c r="M75" s="32" t="n">
        <f aca="false">Assumptions!$B$33</f>
        <v>13000</v>
      </c>
      <c r="N75" s="30" t="n">
        <f aca="false">IF(L75="No",Assumptions!$B$34,0)</f>
        <v>5000</v>
      </c>
      <c r="O75" s="30" t="n">
        <f aca="false">M75+N75</f>
        <v>18000</v>
      </c>
      <c r="P75" s="30" t="n">
        <f aca="false">G75+Assumptions!$B$37+IF(L75="No",Assumptions!$B$38,0)</f>
        <v>1460</v>
      </c>
    </row>
    <row r="76" customFormat="false" ht="15" hidden="false" customHeight="false" outlineLevel="0" collapsed="false">
      <c r="A76" s="9" t="s">
        <v>290</v>
      </c>
      <c r="B76" s="29" t="s">
        <v>256</v>
      </c>
      <c r="C76" s="9" t="s">
        <v>257</v>
      </c>
      <c r="D76" s="19" t="n">
        <v>1105</v>
      </c>
      <c r="E76" s="9" t="s">
        <v>207</v>
      </c>
      <c r="F76" s="29" t="s">
        <v>208</v>
      </c>
      <c r="G76" s="30" t="n">
        <v>1250</v>
      </c>
      <c r="H76" s="30" t="n">
        <v>1194</v>
      </c>
      <c r="I76" s="30" t="n">
        <f aca="false">IF(F76="Vacant",0,H76-G76)</f>
        <v>-56</v>
      </c>
      <c r="J76" s="31" t="n">
        <v>44999</v>
      </c>
      <c r="K76" s="31" t="n">
        <v>46459</v>
      </c>
      <c r="L76" s="29" t="s">
        <v>214</v>
      </c>
      <c r="M76" s="32" t="n">
        <f aca="false">Assumptions!$B$33</f>
        <v>13000</v>
      </c>
      <c r="N76" s="30" t="n">
        <f aca="false">IF(L76="No",Assumptions!$B$34,0)</f>
        <v>5000</v>
      </c>
      <c r="O76" s="30" t="n">
        <f aca="false">M76+N76</f>
        <v>18000</v>
      </c>
      <c r="P76" s="30" t="n">
        <f aca="false">G76+Assumptions!$B$37+IF(L76="No",Assumptions!$B$38,0)</f>
        <v>1450</v>
      </c>
    </row>
    <row r="77" customFormat="false" ht="15" hidden="false" customHeight="false" outlineLevel="0" collapsed="false">
      <c r="A77" s="9" t="s">
        <v>291</v>
      </c>
      <c r="B77" s="29" t="s">
        <v>256</v>
      </c>
      <c r="C77" s="9" t="s">
        <v>259</v>
      </c>
      <c r="D77" s="19" t="n">
        <v>1182</v>
      </c>
      <c r="E77" s="9" t="s">
        <v>207</v>
      </c>
      <c r="F77" s="29" t="s">
        <v>208</v>
      </c>
      <c r="G77" s="30" t="n">
        <v>1260</v>
      </c>
      <c r="H77" s="30" t="n">
        <v>1252</v>
      </c>
      <c r="I77" s="30" t="n">
        <f aca="false">IF(F77="Vacant",0,H77-G77)</f>
        <v>-8</v>
      </c>
      <c r="J77" s="31" t="n">
        <v>45191</v>
      </c>
      <c r="K77" s="31" t="n">
        <v>46286</v>
      </c>
      <c r="L77" s="29" t="s">
        <v>214</v>
      </c>
      <c r="M77" s="32" t="n">
        <f aca="false">Assumptions!$B$33</f>
        <v>13000</v>
      </c>
      <c r="N77" s="30" t="n">
        <f aca="false">IF(L77="No",Assumptions!$B$34,0)</f>
        <v>5000</v>
      </c>
      <c r="O77" s="30" t="n">
        <f aca="false">M77+N77</f>
        <v>18000</v>
      </c>
      <c r="P77" s="30" t="n">
        <f aca="false">G77+Assumptions!$B$37+IF(L77="No",Assumptions!$B$38,0)</f>
        <v>1460</v>
      </c>
    </row>
    <row r="78" customFormat="false" ht="15" hidden="false" customHeight="false" outlineLevel="0" collapsed="false">
      <c r="A78" s="9" t="s">
        <v>292</v>
      </c>
      <c r="B78" s="29" t="s">
        <v>256</v>
      </c>
      <c r="C78" s="9" t="s">
        <v>257</v>
      </c>
      <c r="D78" s="19" t="n">
        <v>1105</v>
      </c>
      <c r="E78" s="9" t="s">
        <v>207</v>
      </c>
      <c r="F78" s="29" t="s">
        <v>208</v>
      </c>
      <c r="G78" s="30" t="n">
        <v>1250</v>
      </c>
      <c r="H78" s="30" t="n">
        <v>1212</v>
      </c>
      <c r="I78" s="30" t="n">
        <f aca="false">IF(F78="Vacant",0,H78-G78)</f>
        <v>-38</v>
      </c>
      <c r="J78" s="31" t="n">
        <v>45828</v>
      </c>
      <c r="K78" s="31" t="n">
        <v>46557</v>
      </c>
      <c r="L78" s="29" t="s">
        <v>214</v>
      </c>
      <c r="M78" s="32" t="n">
        <f aca="false">Assumptions!$B$33</f>
        <v>13000</v>
      </c>
      <c r="N78" s="30" t="n">
        <f aca="false">IF(L78="No",Assumptions!$B$34,0)</f>
        <v>5000</v>
      </c>
      <c r="O78" s="30" t="n">
        <f aca="false">M78+N78</f>
        <v>18000</v>
      </c>
      <c r="P78" s="30" t="n">
        <f aca="false">G78+Assumptions!$B$37+IF(L78="No",Assumptions!$B$38,0)</f>
        <v>1450</v>
      </c>
    </row>
    <row r="79" customFormat="false" ht="15" hidden="false" customHeight="false" outlineLevel="0" collapsed="false">
      <c r="A79" s="9" t="s">
        <v>293</v>
      </c>
      <c r="B79" s="29" t="s">
        <v>256</v>
      </c>
      <c r="C79" s="9" t="s">
        <v>257</v>
      </c>
      <c r="D79" s="19" t="n">
        <v>1105</v>
      </c>
      <c r="E79" s="9" t="s">
        <v>207</v>
      </c>
      <c r="F79" s="29" t="s">
        <v>208</v>
      </c>
      <c r="G79" s="30" t="n">
        <v>1250</v>
      </c>
      <c r="H79" s="30" t="n">
        <v>1194</v>
      </c>
      <c r="I79" s="30" t="n">
        <f aca="false">IF(F79="Vacant",0,H79-G79)</f>
        <v>-56</v>
      </c>
      <c r="J79" s="31" t="n">
        <v>45317</v>
      </c>
      <c r="K79" s="31" t="n">
        <v>46443</v>
      </c>
      <c r="L79" s="29" t="s">
        <v>214</v>
      </c>
      <c r="M79" s="32" t="n">
        <f aca="false">Assumptions!$B$33</f>
        <v>13000</v>
      </c>
      <c r="N79" s="30" t="n">
        <f aca="false">IF(L79="No",Assumptions!$B$34,0)</f>
        <v>5000</v>
      </c>
      <c r="O79" s="30" t="n">
        <f aca="false">M79+N79</f>
        <v>18000</v>
      </c>
      <c r="P79" s="30" t="n">
        <f aca="false">G79+Assumptions!$B$37+IF(L79="No",Assumptions!$B$38,0)</f>
        <v>1450</v>
      </c>
    </row>
    <row r="80" customFormat="false" ht="15" hidden="false" customHeight="false" outlineLevel="0" collapsed="false">
      <c r="A80" s="9" t="s">
        <v>294</v>
      </c>
      <c r="B80" s="29" t="s">
        <v>256</v>
      </c>
      <c r="C80" s="9" t="s">
        <v>259</v>
      </c>
      <c r="D80" s="19" t="n">
        <v>1182</v>
      </c>
      <c r="E80" s="9" t="s">
        <v>207</v>
      </c>
      <c r="F80" s="29" t="s">
        <v>208</v>
      </c>
      <c r="G80" s="30" t="n">
        <v>1260</v>
      </c>
      <c r="H80" s="30" t="n">
        <v>1239</v>
      </c>
      <c r="I80" s="30" t="n">
        <f aca="false">IF(F80="Vacant",0,H80-G80)</f>
        <v>-21</v>
      </c>
      <c r="J80" s="31" t="n">
        <v>44013</v>
      </c>
      <c r="K80" s="31" t="n">
        <v>46446</v>
      </c>
      <c r="L80" s="29" t="s">
        <v>214</v>
      </c>
      <c r="M80" s="32" t="n">
        <f aca="false">Assumptions!$B$33</f>
        <v>13000</v>
      </c>
      <c r="N80" s="30" t="n">
        <f aca="false">IF(L80="No",Assumptions!$B$34,0)</f>
        <v>5000</v>
      </c>
      <c r="O80" s="30" t="n">
        <f aca="false">M80+N80</f>
        <v>18000</v>
      </c>
      <c r="P80" s="30" t="n">
        <f aca="false">G80+Assumptions!$B$37+IF(L80="No",Assumptions!$B$38,0)</f>
        <v>1460</v>
      </c>
    </row>
    <row r="81" customFormat="false" ht="15" hidden="false" customHeight="false" outlineLevel="0" collapsed="false">
      <c r="A81" s="9" t="s">
        <v>295</v>
      </c>
      <c r="B81" s="29" t="s">
        <v>256</v>
      </c>
      <c r="C81" s="9" t="s">
        <v>257</v>
      </c>
      <c r="D81" s="19" t="n">
        <v>1105</v>
      </c>
      <c r="E81" s="9" t="s">
        <v>207</v>
      </c>
      <c r="F81" s="29" t="s">
        <v>208</v>
      </c>
      <c r="G81" s="30" t="n">
        <v>1250</v>
      </c>
      <c r="H81" s="30" t="n">
        <v>1212</v>
      </c>
      <c r="I81" s="30" t="n">
        <f aca="false">IF(F81="Vacant",0,H81-G81)</f>
        <v>-38</v>
      </c>
      <c r="J81" s="31" t="n">
        <v>46077</v>
      </c>
      <c r="K81" s="31" t="n">
        <v>46468</v>
      </c>
      <c r="L81" s="29" t="s">
        <v>214</v>
      </c>
      <c r="M81" s="32" t="n">
        <f aca="false">Assumptions!$B$33</f>
        <v>13000</v>
      </c>
      <c r="N81" s="30" t="n">
        <f aca="false">IF(L81="No",Assumptions!$B$34,0)</f>
        <v>5000</v>
      </c>
      <c r="O81" s="30" t="n">
        <f aca="false">M81+N81</f>
        <v>18000</v>
      </c>
      <c r="P81" s="30" t="n">
        <f aca="false">G81+Assumptions!$B$37+IF(L81="No",Assumptions!$B$38,0)</f>
        <v>1450</v>
      </c>
    </row>
    <row r="82" customFormat="false" ht="15" hidden="false" customHeight="false" outlineLevel="0" collapsed="false">
      <c r="A82" s="9" t="s">
        <v>296</v>
      </c>
      <c r="B82" s="29" t="s">
        <v>256</v>
      </c>
      <c r="C82" s="9" t="s">
        <v>257</v>
      </c>
      <c r="D82" s="19" t="n">
        <v>1105</v>
      </c>
      <c r="E82" s="9" t="s">
        <v>207</v>
      </c>
      <c r="F82" s="29" t="s">
        <v>208</v>
      </c>
      <c r="G82" s="30" t="n">
        <v>1250</v>
      </c>
      <c r="H82" s="30" t="n">
        <v>1212</v>
      </c>
      <c r="I82" s="30" t="n">
        <f aca="false">IF(F82="Vacant",0,H82-G82)</f>
        <v>-38</v>
      </c>
      <c r="J82" s="31" t="n">
        <v>45925</v>
      </c>
      <c r="K82" s="31" t="n">
        <v>46319</v>
      </c>
      <c r="L82" s="29" t="s">
        <v>214</v>
      </c>
      <c r="M82" s="32" t="n">
        <f aca="false">Assumptions!$B$33</f>
        <v>13000</v>
      </c>
      <c r="N82" s="30" t="n">
        <f aca="false">IF(L82="No",Assumptions!$B$34,0)</f>
        <v>5000</v>
      </c>
      <c r="O82" s="30" t="n">
        <f aca="false">M82+N82</f>
        <v>18000</v>
      </c>
      <c r="P82" s="30" t="n">
        <f aca="false">G82+Assumptions!$B$37+IF(L82="No",Assumptions!$B$38,0)</f>
        <v>1450</v>
      </c>
    </row>
    <row r="83" customFormat="false" ht="15" hidden="false" customHeight="false" outlineLevel="0" collapsed="false">
      <c r="A83" s="9" t="s">
        <v>297</v>
      </c>
      <c r="B83" s="29" t="s">
        <v>256</v>
      </c>
      <c r="C83" s="9" t="s">
        <v>259</v>
      </c>
      <c r="D83" s="19" t="n">
        <v>1182</v>
      </c>
      <c r="E83" s="9" t="s">
        <v>207</v>
      </c>
      <c r="F83" s="29" t="s">
        <v>208</v>
      </c>
      <c r="G83" s="30" t="n">
        <v>1260</v>
      </c>
      <c r="H83" s="30" t="n">
        <v>1242</v>
      </c>
      <c r="I83" s="30" t="n">
        <f aca="false">IF(F83="Vacant",0,H83-G83)</f>
        <v>-18</v>
      </c>
      <c r="J83" s="31" t="n">
        <v>45136</v>
      </c>
      <c r="K83" s="31" t="n">
        <v>46231</v>
      </c>
      <c r="L83" s="29" t="s">
        <v>214</v>
      </c>
      <c r="M83" s="32" t="n">
        <f aca="false">Assumptions!$B$33</f>
        <v>13000</v>
      </c>
      <c r="N83" s="30" t="n">
        <f aca="false">IF(L83="No",Assumptions!$B$34,0)</f>
        <v>5000</v>
      </c>
      <c r="O83" s="30" t="n">
        <f aca="false">M83+N83</f>
        <v>18000</v>
      </c>
      <c r="P83" s="30" t="n">
        <f aca="false">G83+Assumptions!$B$37+IF(L83="No",Assumptions!$B$38,0)</f>
        <v>1460</v>
      </c>
    </row>
    <row r="84" customFormat="false" ht="15" hidden="false" customHeight="false" outlineLevel="0" collapsed="false">
      <c r="A84" s="9" t="s">
        <v>298</v>
      </c>
      <c r="B84" s="29" t="s">
        <v>256</v>
      </c>
      <c r="C84" s="9" t="s">
        <v>257</v>
      </c>
      <c r="D84" s="19" t="n">
        <v>1105</v>
      </c>
      <c r="E84" s="9" t="s">
        <v>207</v>
      </c>
      <c r="F84" s="29" t="s">
        <v>208</v>
      </c>
      <c r="G84" s="30" t="n">
        <v>1250</v>
      </c>
      <c r="H84" s="30" t="n">
        <v>1205</v>
      </c>
      <c r="I84" s="30" t="n">
        <f aca="false">IF(F84="Vacant",0,H84-G84)</f>
        <v>-45</v>
      </c>
      <c r="J84" s="31" t="n">
        <v>39142</v>
      </c>
      <c r="K84" s="31" t="n">
        <v>46295</v>
      </c>
      <c r="L84" s="29" t="s">
        <v>214</v>
      </c>
      <c r="M84" s="32" t="n">
        <f aca="false">Assumptions!$B$33</f>
        <v>13000</v>
      </c>
      <c r="N84" s="30" t="n">
        <f aca="false">IF(L84="No",Assumptions!$B$34,0)</f>
        <v>5000</v>
      </c>
      <c r="O84" s="30" t="n">
        <f aca="false">M84+N84</f>
        <v>18000</v>
      </c>
      <c r="P84" s="30" t="n">
        <f aca="false">G84+Assumptions!$B$37+IF(L84="No",Assumptions!$B$38,0)</f>
        <v>1450</v>
      </c>
    </row>
    <row r="85" customFormat="false" ht="15" hidden="false" customHeight="false" outlineLevel="0" collapsed="false">
      <c r="A85" s="9" t="s">
        <v>299</v>
      </c>
      <c r="B85" s="29" t="s">
        <v>256</v>
      </c>
      <c r="C85" s="9" t="s">
        <v>259</v>
      </c>
      <c r="D85" s="19" t="n">
        <v>1182</v>
      </c>
      <c r="E85" s="9" t="s">
        <v>207</v>
      </c>
      <c r="F85" s="29" t="s">
        <v>208</v>
      </c>
      <c r="G85" s="30" t="n">
        <v>1260</v>
      </c>
      <c r="H85" s="30" t="n">
        <v>1239</v>
      </c>
      <c r="I85" s="30" t="n">
        <f aca="false">IF(F85="Vacant",0,H85-G85)</f>
        <v>-21</v>
      </c>
      <c r="J85" s="31" t="n">
        <v>43948</v>
      </c>
      <c r="K85" s="31" t="n">
        <v>46503</v>
      </c>
      <c r="L85" s="29" t="s">
        <v>214</v>
      </c>
      <c r="M85" s="32" t="n">
        <f aca="false">Assumptions!$B$33</f>
        <v>13000</v>
      </c>
      <c r="N85" s="30" t="n">
        <f aca="false">IF(L85="No",Assumptions!$B$34,0)</f>
        <v>5000</v>
      </c>
      <c r="O85" s="30" t="n">
        <f aca="false">M85+N85</f>
        <v>18000</v>
      </c>
      <c r="P85" s="30" t="n">
        <f aca="false">G85+Assumptions!$B$37+IF(L85="No",Assumptions!$B$38,0)</f>
        <v>1460</v>
      </c>
    </row>
    <row r="86" customFormat="false" ht="15" hidden="false" customHeight="false" outlineLevel="0" collapsed="false">
      <c r="A86" s="9" t="s">
        <v>300</v>
      </c>
      <c r="B86" s="29" t="s">
        <v>256</v>
      </c>
      <c r="C86" s="9" t="s">
        <v>257</v>
      </c>
      <c r="D86" s="19" t="n">
        <v>1105</v>
      </c>
      <c r="E86" s="9" t="s">
        <v>239</v>
      </c>
      <c r="F86" s="29" t="s">
        <v>208</v>
      </c>
      <c r="G86" s="30" t="n">
        <v>1250</v>
      </c>
      <c r="H86" s="30" t="n">
        <v>1212</v>
      </c>
      <c r="I86" s="30" t="n">
        <f aca="false">IF(F86="Vacant",0,H86-G86)</f>
        <v>-38</v>
      </c>
      <c r="J86" s="31" t="n">
        <v>45971</v>
      </c>
      <c r="K86" s="31" t="n">
        <v>46335</v>
      </c>
      <c r="L86" s="29" t="s">
        <v>214</v>
      </c>
      <c r="M86" s="32" t="n">
        <f aca="false">Assumptions!$B$33</f>
        <v>13000</v>
      </c>
      <c r="N86" s="30" t="n">
        <f aca="false">IF(L86="No",Assumptions!$B$34,0)</f>
        <v>5000</v>
      </c>
      <c r="O86" s="30" t="n">
        <f aca="false">M86+N86</f>
        <v>18000</v>
      </c>
      <c r="P86" s="30" t="n">
        <f aca="false">G86+Assumptions!$B$37+IF(L86="No",Assumptions!$B$38,0)</f>
        <v>1450</v>
      </c>
    </row>
    <row r="87" customFormat="false" ht="15" hidden="false" customHeight="false" outlineLevel="0" collapsed="false">
      <c r="A87" s="9" t="s">
        <v>301</v>
      </c>
      <c r="B87" s="29" t="s">
        <v>256</v>
      </c>
      <c r="C87" s="9" t="s">
        <v>259</v>
      </c>
      <c r="D87" s="19" t="n">
        <v>1182</v>
      </c>
      <c r="E87" s="9" t="s">
        <v>241</v>
      </c>
      <c r="F87" s="29" t="s">
        <v>208</v>
      </c>
      <c r="G87" s="30" t="n">
        <v>1260</v>
      </c>
      <c r="H87" s="30" t="n">
        <v>1257</v>
      </c>
      <c r="I87" s="30" t="n">
        <f aca="false">IF(F87="Vacant",0,H87-G87)</f>
        <v>-3</v>
      </c>
      <c r="J87" s="31" t="n">
        <v>45884</v>
      </c>
      <c r="K87" s="31" t="n">
        <v>46248</v>
      </c>
      <c r="L87" s="29" t="s">
        <v>214</v>
      </c>
      <c r="M87" s="32" t="n">
        <f aca="false">Assumptions!$B$33</f>
        <v>13000</v>
      </c>
      <c r="N87" s="30" t="n">
        <f aca="false">IF(L87="No",Assumptions!$B$34,0)</f>
        <v>5000</v>
      </c>
      <c r="O87" s="30" t="n">
        <f aca="false">M87+N87</f>
        <v>18000</v>
      </c>
      <c r="P87" s="30" t="n">
        <f aca="false">G87+Assumptions!$B$37+IF(L87="No",Assumptions!$B$38,0)</f>
        <v>1460</v>
      </c>
    </row>
    <row r="88" customFormat="false" ht="15" hidden="false" customHeight="false" outlineLevel="0" collapsed="false">
      <c r="A88" s="9" t="s">
        <v>302</v>
      </c>
      <c r="B88" s="29" t="s">
        <v>256</v>
      </c>
      <c r="C88" s="9" t="s">
        <v>257</v>
      </c>
      <c r="D88" s="19" t="n">
        <v>1105</v>
      </c>
      <c r="E88" s="9" t="s">
        <v>241</v>
      </c>
      <c r="F88" s="29" t="s">
        <v>208</v>
      </c>
      <c r="G88" s="30" t="n">
        <v>1250</v>
      </c>
      <c r="H88" s="30" t="n">
        <v>821.03</v>
      </c>
      <c r="I88" s="30" t="n">
        <f aca="false">IF(F88="Vacant",0,H88-G88)</f>
        <v>-428.97</v>
      </c>
      <c r="J88" s="31" t="n">
        <v>45854</v>
      </c>
      <c r="K88" s="31" t="n">
        <v>46218</v>
      </c>
      <c r="L88" s="29" t="s">
        <v>214</v>
      </c>
      <c r="M88" s="32" t="n">
        <f aca="false">Assumptions!$B$33</f>
        <v>13000</v>
      </c>
      <c r="N88" s="30" t="n">
        <f aca="false">IF(L88="No",Assumptions!$B$34,0)</f>
        <v>5000</v>
      </c>
      <c r="O88" s="30" t="n">
        <f aca="false">M88+N88</f>
        <v>18000</v>
      </c>
      <c r="P88" s="30" t="n">
        <f aca="false">G88+Assumptions!$B$37+IF(L88="No",Assumptions!$B$38,0)</f>
        <v>1450</v>
      </c>
    </row>
    <row r="89" customFormat="false" ht="15" hidden="false" customHeight="false" outlineLevel="0" collapsed="false">
      <c r="A89" s="9" t="s">
        <v>303</v>
      </c>
      <c r="B89" s="29" t="s">
        <v>256</v>
      </c>
      <c r="C89" s="9" t="s">
        <v>259</v>
      </c>
      <c r="D89" s="19" t="n">
        <v>1182</v>
      </c>
      <c r="E89" s="9" t="s">
        <v>241</v>
      </c>
      <c r="F89" s="29" t="s">
        <v>208</v>
      </c>
      <c r="G89" s="30" t="n">
        <v>1260</v>
      </c>
      <c r="H89" s="30" t="n">
        <v>1298</v>
      </c>
      <c r="I89" s="30" t="n">
        <f aca="false">IF(F89="Vacant",0,H89-G89)</f>
        <v>38</v>
      </c>
      <c r="J89" s="31" t="n">
        <v>44385</v>
      </c>
      <c r="K89" s="31" t="n">
        <v>46210</v>
      </c>
      <c r="L89" s="29" t="s">
        <v>214</v>
      </c>
      <c r="M89" s="32" t="n">
        <f aca="false">Assumptions!$B$33</f>
        <v>13000</v>
      </c>
      <c r="N89" s="30" t="n">
        <f aca="false">IF(L89="No",Assumptions!$B$34,0)</f>
        <v>5000</v>
      </c>
      <c r="O89" s="30" t="n">
        <f aca="false">M89+N89</f>
        <v>18000</v>
      </c>
      <c r="P89" s="30" t="n">
        <f aca="false">G89+Assumptions!$B$37+IF(L89="No",Assumptions!$B$38,0)</f>
        <v>1460</v>
      </c>
    </row>
    <row r="90" customFormat="false" ht="15" hidden="false" customHeight="false" outlineLevel="0" collapsed="false">
      <c r="A90" s="9" t="s">
        <v>304</v>
      </c>
      <c r="B90" s="29" t="s">
        <v>256</v>
      </c>
      <c r="C90" s="9" t="s">
        <v>257</v>
      </c>
      <c r="D90" s="19" t="n">
        <v>1105</v>
      </c>
      <c r="E90" s="9" t="s">
        <v>241</v>
      </c>
      <c r="F90" s="29" t="s">
        <v>208</v>
      </c>
      <c r="G90" s="30" t="n">
        <v>1250</v>
      </c>
      <c r="H90" s="30" t="n">
        <v>1209</v>
      </c>
      <c r="I90" s="30" t="n">
        <f aca="false">IF(F90="Vacant",0,H90-G90)</f>
        <v>-41</v>
      </c>
      <c r="J90" s="31" t="n">
        <v>45606</v>
      </c>
      <c r="K90" s="31" t="n">
        <v>46335</v>
      </c>
      <c r="L90" s="29" t="s">
        <v>214</v>
      </c>
      <c r="M90" s="32" t="n">
        <f aca="false">Assumptions!$B$33</f>
        <v>13000</v>
      </c>
      <c r="N90" s="30" t="n">
        <f aca="false">IF(L90="No",Assumptions!$B$34,0)</f>
        <v>5000</v>
      </c>
      <c r="O90" s="30" t="n">
        <f aca="false">M90+N90</f>
        <v>18000</v>
      </c>
      <c r="P90" s="30" t="n">
        <f aca="false">G90+Assumptions!$B$37+IF(L90="No",Assumptions!$B$38,0)</f>
        <v>1450</v>
      </c>
    </row>
    <row r="91" customFormat="false" ht="15" hidden="false" customHeight="false" outlineLevel="0" collapsed="false">
      <c r="A91" s="9" t="s">
        <v>305</v>
      </c>
      <c r="B91" s="29" t="s">
        <v>256</v>
      </c>
      <c r="C91" s="9" t="s">
        <v>259</v>
      </c>
      <c r="D91" s="19" t="n">
        <v>1182</v>
      </c>
      <c r="E91" s="9" t="s">
        <v>306</v>
      </c>
      <c r="F91" s="33" t="s">
        <v>307</v>
      </c>
      <c r="G91" s="30" t="n">
        <v>1260</v>
      </c>
      <c r="H91" s="30"/>
      <c r="I91" s="30" t="n">
        <f aca="false">IF(F91="Vacant",0,H91-G91)</f>
        <v>0</v>
      </c>
      <c r="J91" s="31"/>
      <c r="K91" s="31"/>
      <c r="L91" s="29" t="s">
        <v>214</v>
      </c>
      <c r="M91" s="32" t="n">
        <f aca="false">Assumptions!$B$33</f>
        <v>13000</v>
      </c>
      <c r="N91" s="30" t="n">
        <f aca="false">IF(L91="No",Assumptions!$B$34,0)</f>
        <v>5000</v>
      </c>
      <c r="O91" s="30" t="n">
        <f aca="false">M91+N91</f>
        <v>18000</v>
      </c>
      <c r="P91" s="30" t="n">
        <f aca="false">G91+Assumptions!$B$37+IF(L91="No",Assumptions!$B$38,0)</f>
        <v>1460</v>
      </c>
    </row>
    <row r="92" customFormat="false" ht="15" hidden="false" customHeight="false" outlineLevel="0" collapsed="false">
      <c r="A92" s="9" t="s">
        <v>308</v>
      </c>
      <c r="B92" s="29" t="s">
        <v>256</v>
      </c>
      <c r="C92" s="9" t="s">
        <v>257</v>
      </c>
      <c r="D92" s="19" t="n">
        <v>1105</v>
      </c>
      <c r="E92" s="9" t="s">
        <v>306</v>
      </c>
      <c r="F92" s="33" t="s">
        <v>307</v>
      </c>
      <c r="G92" s="30" t="n">
        <v>1250</v>
      </c>
      <c r="H92" s="30"/>
      <c r="I92" s="30" t="n">
        <f aca="false">IF(F92="Vacant",0,H92-G92)</f>
        <v>0</v>
      </c>
      <c r="J92" s="31"/>
      <c r="K92" s="31"/>
      <c r="L92" s="29" t="s">
        <v>214</v>
      </c>
      <c r="M92" s="32" t="n">
        <f aca="false">Assumptions!$B$33</f>
        <v>13000</v>
      </c>
      <c r="N92" s="30" t="n">
        <f aca="false">IF(L92="No",Assumptions!$B$34,0)</f>
        <v>5000</v>
      </c>
      <c r="O92" s="30" t="n">
        <f aca="false">M92+N92</f>
        <v>18000</v>
      </c>
      <c r="P92" s="30" t="n">
        <f aca="false">G92+Assumptions!$B$37+IF(L92="No",Assumptions!$B$38,0)</f>
        <v>1450</v>
      </c>
    </row>
    <row r="93" customFormat="false" ht="15" hidden="false" customHeight="false" outlineLevel="0" collapsed="false">
      <c r="A93" s="9" t="s">
        <v>309</v>
      </c>
      <c r="B93" s="29" t="s">
        <v>256</v>
      </c>
      <c r="C93" s="9" t="s">
        <v>259</v>
      </c>
      <c r="D93" s="19" t="n">
        <v>1182</v>
      </c>
      <c r="E93" s="9" t="s">
        <v>306</v>
      </c>
      <c r="F93" s="33" t="s">
        <v>307</v>
      </c>
      <c r="G93" s="30" t="n">
        <v>1260</v>
      </c>
      <c r="H93" s="30"/>
      <c r="I93" s="30" t="n">
        <f aca="false">IF(F93="Vacant",0,H93-G93)</f>
        <v>0</v>
      </c>
      <c r="J93" s="31"/>
      <c r="K93" s="31"/>
      <c r="L93" s="29" t="s">
        <v>214</v>
      </c>
      <c r="M93" s="32" t="n">
        <f aca="false">Assumptions!$B$33</f>
        <v>13000</v>
      </c>
      <c r="N93" s="30" t="n">
        <f aca="false">IF(L93="No",Assumptions!$B$34,0)</f>
        <v>5000</v>
      </c>
      <c r="O93" s="30" t="n">
        <f aca="false">M93+N93</f>
        <v>18000</v>
      </c>
      <c r="P93" s="30" t="n">
        <f aca="false">G93+Assumptions!$B$37+IF(L93="No",Assumptions!$B$38,0)</f>
        <v>1460</v>
      </c>
    </row>
    <row r="94" customFormat="false" ht="15" hidden="false" customHeight="false" outlineLevel="0" collapsed="false">
      <c r="A94" s="9" t="s">
        <v>310</v>
      </c>
      <c r="B94" s="29" t="s">
        <v>311</v>
      </c>
      <c r="C94" s="9" t="s">
        <v>312</v>
      </c>
      <c r="D94" s="19" t="n">
        <v>1590</v>
      </c>
      <c r="E94" s="9" t="s">
        <v>207</v>
      </c>
      <c r="F94" s="29" t="s">
        <v>208</v>
      </c>
      <c r="G94" s="30" t="n">
        <v>1600</v>
      </c>
      <c r="H94" s="30" t="n">
        <v>1581</v>
      </c>
      <c r="I94" s="30" t="n">
        <f aca="false">IF(F94="Vacant",0,H94-G94)</f>
        <v>-19</v>
      </c>
      <c r="J94" s="31" t="n">
        <v>46109</v>
      </c>
      <c r="K94" s="31" t="n">
        <v>46504</v>
      </c>
      <c r="L94" s="29" t="s">
        <v>209</v>
      </c>
      <c r="M94" s="32" t="n">
        <f aca="false">Assumptions!$B$33</f>
        <v>13000</v>
      </c>
      <c r="N94" s="30" t="n">
        <f aca="false">IF(L94="No",Assumptions!$B$34,0)</f>
        <v>0</v>
      </c>
      <c r="O94" s="30" t="n">
        <f aca="false">M94+N94</f>
        <v>13000</v>
      </c>
      <c r="P94" s="30" t="n">
        <f aca="false">G94+Assumptions!$B$37+IF(L94="No",Assumptions!$B$38,0)</f>
        <v>1725</v>
      </c>
    </row>
    <row r="95" customFormat="false" ht="15" hidden="false" customHeight="false" outlineLevel="0" collapsed="false">
      <c r="A95" s="9" t="s">
        <v>313</v>
      </c>
      <c r="B95" s="29" t="s">
        <v>311</v>
      </c>
      <c r="C95" s="9" t="s">
        <v>312</v>
      </c>
      <c r="D95" s="19" t="n">
        <v>1590</v>
      </c>
      <c r="E95" s="9" t="s">
        <v>207</v>
      </c>
      <c r="F95" s="29" t="s">
        <v>208</v>
      </c>
      <c r="G95" s="30" t="n">
        <v>1600</v>
      </c>
      <c r="H95" s="30" t="n">
        <v>1581</v>
      </c>
      <c r="I95" s="30" t="n">
        <f aca="false">IF(F95="Vacant",0,H95-G95)</f>
        <v>-19</v>
      </c>
      <c r="J95" s="31" t="n">
        <v>46111</v>
      </c>
      <c r="K95" s="31" t="n">
        <v>46506</v>
      </c>
      <c r="L95" s="29" t="s">
        <v>209</v>
      </c>
      <c r="M95" s="32" t="n">
        <f aca="false">Assumptions!$B$33</f>
        <v>13000</v>
      </c>
      <c r="N95" s="30" t="n">
        <f aca="false">IF(L95="No",Assumptions!$B$34,0)</f>
        <v>0</v>
      </c>
      <c r="O95" s="30" t="n">
        <f aca="false">M95+N95</f>
        <v>13000</v>
      </c>
      <c r="P95" s="30" t="n">
        <f aca="false">G95+Assumptions!$B$37+IF(L95="No",Assumptions!$B$38,0)</f>
        <v>1725</v>
      </c>
    </row>
    <row r="96" customFormat="false" ht="15" hidden="false" customHeight="false" outlineLevel="0" collapsed="false">
      <c r="A96" s="9" t="s">
        <v>314</v>
      </c>
      <c r="B96" s="29" t="s">
        <v>311</v>
      </c>
      <c r="C96" s="9" t="s">
        <v>312</v>
      </c>
      <c r="D96" s="19" t="n">
        <v>1590</v>
      </c>
      <c r="E96" s="9" t="s">
        <v>207</v>
      </c>
      <c r="F96" s="29" t="s">
        <v>208</v>
      </c>
      <c r="G96" s="30" t="n">
        <v>1600</v>
      </c>
      <c r="H96" s="30" t="n">
        <v>1557</v>
      </c>
      <c r="I96" s="30" t="n">
        <f aca="false">IF(F96="Vacant",0,H96-G96)</f>
        <v>-43</v>
      </c>
      <c r="J96" s="31" t="n">
        <v>45721</v>
      </c>
      <c r="K96" s="31" t="n">
        <v>46450</v>
      </c>
      <c r="L96" s="29" t="s">
        <v>209</v>
      </c>
      <c r="M96" s="32" t="n">
        <f aca="false">Assumptions!$B$33</f>
        <v>13000</v>
      </c>
      <c r="N96" s="30" t="n">
        <f aca="false">IF(L96="No",Assumptions!$B$34,0)</f>
        <v>0</v>
      </c>
      <c r="O96" s="30" t="n">
        <f aca="false">M96+N96</f>
        <v>13000</v>
      </c>
      <c r="P96" s="30" t="n">
        <f aca="false">G96+Assumptions!$B$37+IF(L96="No",Assumptions!$B$38,0)</f>
        <v>1725</v>
      </c>
    </row>
    <row r="97" customFormat="false" ht="15" hidden="false" customHeight="false" outlineLevel="0" collapsed="false">
      <c r="A97" s="9" t="s">
        <v>315</v>
      </c>
      <c r="B97" s="29" t="s">
        <v>311</v>
      </c>
      <c r="C97" s="9" t="s">
        <v>312</v>
      </c>
      <c r="D97" s="19" t="n">
        <v>1590</v>
      </c>
      <c r="E97" s="9" t="s">
        <v>207</v>
      </c>
      <c r="F97" s="29" t="s">
        <v>208</v>
      </c>
      <c r="G97" s="30" t="n">
        <v>1600</v>
      </c>
      <c r="H97" s="30" t="n">
        <v>1581</v>
      </c>
      <c r="I97" s="30" t="n">
        <f aca="false">IF(F97="Vacant",0,H97-G97)</f>
        <v>-19</v>
      </c>
      <c r="J97" s="31" t="n">
        <v>46143</v>
      </c>
      <c r="K97" s="31" t="n">
        <v>46507</v>
      </c>
      <c r="L97" s="29" t="s">
        <v>209</v>
      </c>
      <c r="M97" s="32" t="n">
        <f aca="false">Assumptions!$B$33</f>
        <v>13000</v>
      </c>
      <c r="N97" s="30" t="n">
        <f aca="false">IF(L97="No",Assumptions!$B$34,0)</f>
        <v>0</v>
      </c>
      <c r="O97" s="30" t="n">
        <f aca="false">M97+N97</f>
        <v>13000</v>
      </c>
      <c r="P97" s="30" t="n">
        <f aca="false">G97+Assumptions!$B$37+IF(L97="No",Assumptions!$B$38,0)</f>
        <v>1725</v>
      </c>
    </row>
    <row r="98" customFormat="false" ht="15" hidden="false" customHeight="false" outlineLevel="0" collapsed="false">
      <c r="A98" s="9" t="s">
        <v>316</v>
      </c>
      <c r="B98" s="29" t="s">
        <v>311</v>
      </c>
      <c r="C98" s="9" t="s">
        <v>312</v>
      </c>
      <c r="D98" s="19" t="n">
        <v>1590</v>
      </c>
      <c r="E98" s="9" t="s">
        <v>207</v>
      </c>
      <c r="F98" s="29" t="s">
        <v>208</v>
      </c>
      <c r="G98" s="30" t="n">
        <v>1600</v>
      </c>
      <c r="H98" s="30" t="n">
        <v>1581</v>
      </c>
      <c r="I98" s="30" t="n">
        <f aca="false">IF(F98="Vacant",0,H98-G98)</f>
        <v>-19</v>
      </c>
      <c r="J98" s="31" t="n">
        <v>46076</v>
      </c>
      <c r="K98" s="31" t="n">
        <v>46468</v>
      </c>
      <c r="L98" s="29" t="s">
        <v>209</v>
      </c>
      <c r="M98" s="32" t="n">
        <f aca="false">Assumptions!$B$33</f>
        <v>13000</v>
      </c>
      <c r="N98" s="30" t="n">
        <f aca="false">IF(L98="No",Assumptions!$B$34,0)</f>
        <v>0</v>
      </c>
      <c r="O98" s="30" t="n">
        <f aca="false">M98+N98</f>
        <v>13000</v>
      </c>
      <c r="P98" s="30" t="n">
        <f aca="false">G98+Assumptions!$B$37+IF(L98="No",Assumptions!$B$38,0)</f>
        <v>1725</v>
      </c>
    </row>
    <row r="99" customFormat="false" ht="15" hidden="false" customHeight="false" outlineLevel="0" collapsed="false">
      <c r="A99" s="9" t="s">
        <v>317</v>
      </c>
      <c r="B99" s="29" t="s">
        <v>311</v>
      </c>
      <c r="C99" s="9" t="s">
        <v>312</v>
      </c>
      <c r="D99" s="19" t="n">
        <v>1590</v>
      </c>
      <c r="E99" s="9" t="s">
        <v>207</v>
      </c>
      <c r="F99" s="29" t="s">
        <v>208</v>
      </c>
      <c r="G99" s="30" t="n">
        <v>1600</v>
      </c>
      <c r="H99" s="30" t="n">
        <v>1571</v>
      </c>
      <c r="I99" s="30" t="n">
        <f aca="false">IF(F99="Vacant",0,H99-G99)</f>
        <v>-29</v>
      </c>
      <c r="J99" s="31" t="n">
        <v>45493</v>
      </c>
      <c r="K99" s="31" t="n">
        <v>46222</v>
      </c>
      <c r="L99" s="29" t="s">
        <v>209</v>
      </c>
      <c r="M99" s="32" t="n">
        <f aca="false">Assumptions!$B$33</f>
        <v>13000</v>
      </c>
      <c r="N99" s="30" t="n">
        <f aca="false">IF(L99="No",Assumptions!$B$34,0)</f>
        <v>0</v>
      </c>
      <c r="O99" s="30" t="n">
        <f aca="false">M99+N99</f>
        <v>13000</v>
      </c>
      <c r="P99" s="30" t="n">
        <f aca="false">G99+Assumptions!$B$37+IF(L99="No",Assumptions!$B$38,0)</f>
        <v>1725</v>
      </c>
    </row>
    <row r="100" customFormat="false" ht="15" hidden="false" customHeight="false" outlineLevel="0" collapsed="false">
      <c r="A100" s="9" t="s">
        <v>318</v>
      </c>
      <c r="B100" s="29" t="s">
        <v>311</v>
      </c>
      <c r="C100" s="9" t="s">
        <v>312</v>
      </c>
      <c r="D100" s="19" t="n">
        <v>1590</v>
      </c>
      <c r="E100" s="9" t="s">
        <v>207</v>
      </c>
      <c r="F100" s="29" t="s">
        <v>208</v>
      </c>
      <c r="G100" s="30" t="n">
        <v>1600</v>
      </c>
      <c r="H100" s="30" t="n">
        <v>1571</v>
      </c>
      <c r="I100" s="30" t="n">
        <f aca="false">IF(F100="Vacant",0,H100-G100)</f>
        <v>-29</v>
      </c>
      <c r="J100" s="31" t="n">
        <v>43724</v>
      </c>
      <c r="K100" s="31" t="n">
        <v>46278</v>
      </c>
      <c r="L100" s="29" t="s">
        <v>209</v>
      </c>
      <c r="M100" s="32" t="n">
        <f aca="false">Assumptions!$B$33</f>
        <v>13000</v>
      </c>
      <c r="N100" s="30" t="n">
        <f aca="false">IF(L100="No",Assumptions!$B$34,0)</f>
        <v>0</v>
      </c>
      <c r="O100" s="30" t="n">
        <f aca="false">M100+N100</f>
        <v>13000</v>
      </c>
      <c r="P100" s="30" t="n">
        <f aca="false">G100+Assumptions!$B$37+IF(L100="No",Assumptions!$B$38,0)</f>
        <v>1725</v>
      </c>
    </row>
    <row r="101" customFormat="false" ht="15" hidden="false" customHeight="false" outlineLevel="0" collapsed="false">
      <c r="A101" s="9" t="s">
        <v>319</v>
      </c>
      <c r="B101" s="29" t="s">
        <v>311</v>
      </c>
      <c r="C101" s="9" t="s">
        <v>312</v>
      </c>
      <c r="D101" s="19" t="n">
        <v>1590</v>
      </c>
      <c r="E101" s="9" t="s">
        <v>207</v>
      </c>
      <c r="F101" s="29" t="s">
        <v>208</v>
      </c>
      <c r="G101" s="30" t="n">
        <v>1600</v>
      </c>
      <c r="H101" s="30" t="n">
        <v>1581</v>
      </c>
      <c r="I101" s="30" t="n">
        <f aca="false">IF(F101="Vacant",0,H101-G101)</f>
        <v>-19</v>
      </c>
      <c r="J101" s="31" t="n">
        <v>46101</v>
      </c>
      <c r="K101" s="31" t="n">
        <v>46496</v>
      </c>
      <c r="L101" s="29" t="s">
        <v>209</v>
      </c>
      <c r="M101" s="32" t="n">
        <f aca="false">Assumptions!$B$33</f>
        <v>13000</v>
      </c>
      <c r="N101" s="30" t="n">
        <f aca="false">IF(L101="No",Assumptions!$B$34,0)</f>
        <v>0</v>
      </c>
      <c r="O101" s="30" t="n">
        <f aca="false">M101+N101</f>
        <v>13000</v>
      </c>
      <c r="P101" s="30" t="n">
        <f aca="false">G101+Assumptions!$B$37+IF(L101="No",Assumptions!$B$38,0)</f>
        <v>1725</v>
      </c>
    </row>
    <row r="102" customFormat="false" ht="15" hidden="false" customHeight="false" outlineLevel="0" collapsed="false">
      <c r="A102" s="9" t="s">
        <v>320</v>
      </c>
      <c r="B102" s="29" t="s">
        <v>311</v>
      </c>
      <c r="C102" s="9" t="s">
        <v>312</v>
      </c>
      <c r="D102" s="19" t="n">
        <v>1590</v>
      </c>
      <c r="E102" s="9" t="s">
        <v>207</v>
      </c>
      <c r="F102" s="29" t="s">
        <v>208</v>
      </c>
      <c r="G102" s="30" t="n">
        <v>1600</v>
      </c>
      <c r="H102" s="30" t="n">
        <v>1561</v>
      </c>
      <c r="I102" s="30" t="n">
        <f aca="false">IF(F102="Vacant",0,H102-G102)</f>
        <v>-39</v>
      </c>
      <c r="J102" s="31" t="n">
        <v>45536</v>
      </c>
      <c r="K102" s="31" t="n">
        <v>46295</v>
      </c>
      <c r="L102" s="29" t="s">
        <v>209</v>
      </c>
      <c r="M102" s="32" t="n">
        <f aca="false">Assumptions!$B$33</f>
        <v>13000</v>
      </c>
      <c r="N102" s="30" t="n">
        <f aca="false">IF(L102="No",Assumptions!$B$34,0)</f>
        <v>0</v>
      </c>
      <c r="O102" s="30" t="n">
        <f aca="false">M102+N102</f>
        <v>13000</v>
      </c>
      <c r="P102" s="30" t="n">
        <f aca="false">G102+Assumptions!$B$37+IF(L102="No",Assumptions!$B$38,0)</f>
        <v>1725</v>
      </c>
    </row>
    <row r="103" customFormat="false" ht="15" hidden="false" customHeight="false" outlineLevel="0" collapsed="false">
      <c r="A103" s="9" t="s">
        <v>321</v>
      </c>
      <c r="B103" s="29" t="s">
        <v>311</v>
      </c>
      <c r="C103" s="9" t="s">
        <v>312</v>
      </c>
      <c r="D103" s="19" t="n">
        <v>1590</v>
      </c>
      <c r="E103" s="9" t="s">
        <v>207</v>
      </c>
      <c r="F103" s="29" t="s">
        <v>208</v>
      </c>
      <c r="G103" s="30" t="n">
        <v>1600</v>
      </c>
      <c r="H103" s="30" t="n">
        <v>1581</v>
      </c>
      <c r="I103" s="30" t="n">
        <f aca="false">IF(F103="Vacant",0,H103-G103)</f>
        <v>-19</v>
      </c>
      <c r="J103" s="31" t="n">
        <v>37196</v>
      </c>
      <c r="K103" s="31" t="n">
        <v>46326</v>
      </c>
      <c r="L103" s="29" t="s">
        <v>209</v>
      </c>
      <c r="M103" s="32" t="n">
        <f aca="false">Assumptions!$B$33</f>
        <v>13000</v>
      </c>
      <c r="N103" s="30" t="n">
        <f aca="false">IF(L103="No",Assumptions!$B$34,0)</f>
        <v>0</v>
      </c>
      <c r="O103" s="30" t="n">
        <f aca="false">M103+N103</f>
        <v>13000</v>
      </c>
      <c r="P103" s="30" t="n">
        <f aca="false">G103+Assumptions!$B$37+IF(L103="No",Assumptions!$B$38,0)</f>
        <v>1725</v>
      </c>
    </row>
    <row r="104" customFormat="false" ht="15" hidden="false" customHeight="false" outlineLevel="0" collapsed="false">
      <c r="A104" s="9" t="s">
        <v>322</v>
      </c>
      <c r="B104" s="29" t="s">
        <v>311</v>
      </c>
      <c r="C104" s="9" t="s">
        <v>312</v>
      </c>
      <c r="D104" s="19" t="n">
        <v>1590</v>
      </c>
      <c r="E104" s="9" t="s">
        <v>207</v>
      </c>
      <c r="F104" s="29" t="s">
        <v>208</v>
      </c>
      <c r="G104" s="30" t="n">
        <v>1600</v>
      </c>
      <c r="H104" s="30" t="n">
        <v>1581</v>
      </c>
      <c r="I104" s="30" t="n">
        <f aca="false">IF(F104="Vacant",0,H104-G104)</f>
        <v>-19</v>
      </c>
      <c r="J104" s="31" t="n">
        <v>45919</v>
      </c>
      <c r="K104" s="31" t="n">
        <v>46283</v>
      </c>
      <c r="L104" s="29" t="s">
        <v>209</v>
      </c>
      <c r="M104" s="32" t="n">
        <f aca="false">Assumptions!$B$33</f>
        <v>13000</v>
      </c>
      <c r="N104" s="30" t="n">
        <f aca="false">IF(L104="No",Assumptions!$B$34,0)</f>
        <v>0</v>
      </c>
      <c r="O104" s="30" t="n">
        <f aca="false">M104+N104</f>
        <v>13000</v>
      </c>
      <c r="P104" s="30" t="n">
        <f aca="false">G104+Assumptions!$B$37+IF(L104="No",Assumptions!$B$38,0)</f>
        <v>1725</v>
      </c>
    </row>
    <row r="105" customFormat="false" ht="15" hidden="false" customHeight="false" outlineLevel="0" collapsed="false">
      <c r="A105" s="9" t="s">
        <v>323</v>
      </c>
      <c r="B105" s="29" t="s">
        <v>311</v>
      </c>
      <c r="C105" s="9" t="s">
        <v>312</v>
      </c>
      <c r="D105" s="19" t="n">
        <v>1590</v>
      </c>
      <c r="E105" s="9" t="s">
        <v>207</v>
      </c>
      <c r="F105" s="29" t="s">
        <v>208</v>
      </c>
      <c r="G105" s="30" t="n">
        <v>1600</v>
      </c>
      <c r="H105" s="30" t="n">
        <v>1581</v>
      </c>
      <c r="I105" s="30" t="n">
        <f aca="false">IF(F105="Vacant",0,H105-G105)</f>
        <v>-19</v>
      </c>
      <c r="J105" s="31" t="n">
        <v>46079</v>
      </c>
      <c r="K105" s="31" t="n">
        <v>46471</v>
      </c>
      <c r="L105" s="29" t="s">
        <v>209</v>
      </c>
      <c r="M105" s="32" t="n">
        <f aca="false">Assumptions!$B$33</f>
        <v>13000</v>
      </c>
      <c r="N105" s="30" t="n">
        <f aca="false">IF(L105="No",Assumptions!$B$34,0)</f>
        <v>0</v>
      </c>
      <c r="O105" s="30" t="n">
        <f aca="false">M105+N105</f>
        <v>13000</v>
      </c>
      <c r="P105" s="30" t="n">
        <f aca="false">G105+Assumptions!$B$37+IF(L105="No",Assumptions!$B$38,0)</f>
        <v>1725</v>
      </c>
    </row>
    <row r="106" customFormat="false" ht="15" hidden="false" customHeight="false" outlineLevel="0" collapsed="false">
      <c r="A106" s="9" t="s">
        <v>324</v>
      </c>
      <c r="B106" s="29" t="s">
        <v>311</v>
      </c>
      <c r="C106" s="9" t="s">
        <v>312</v>
      </c>
      <c r="D106" s="19" t="n">
        <v>1590</v>
      </c>
      <c r="E106" s="9" t="s">
        <v>207</v>
      </c>
      <c r="F106" s="29" t="s">
        <v>208</v>
      </c>
      <c r="G106" s="30" t="n">
        <v>1600</v>
      </c>
      <c r="H106" s="30" t="n">
        <v>1581</v>
      </c>
      <c r="I106" s="30" t="n">
        <f aca="false">IF(F106="Vacant",0,H106-G106)</f>
        <v>-19</v>
      </c>
      <c r="J106" s="31" t="n">
        <v>45955</v>
      </c>
      <c r="K106" s="31" t="n">
        <v>46319</v>
      </c>
      <c r="L106" s="29" t="s">
        <v>209</v>
      </c>
      <c r="M106" s="32" t="n">
        <f aca="false">Assumptions!$B$33</f>
        <v>13000</v>
      </c>
      <c r="N106" s="30" t="n">
        <f aca="false">IF(L106="No",Assumptions!$B$34,0)</f>
        <v>0</v>
      </c>
      <c r="O106" s="30" t="n">
        <f aca="false">M106+N106</f>
        <v>13000</v>
      </c>
      <c r="P106" s="30" t="n">
        <f aca="false">G106+Assumptions!$B$37+IF(L106="No",Assumptions!$B$38,0)</f>
        <v>1725</v>
      </c>
    </row>
    <row r="107" customFormat="false" ht="15" hidden="false" customHeight="false" outlineLevel="0" collapsed="false">
      <c r="A107" s="9" t="s">
        <v>325</v>
      </c>
      <c r="B107" s="29" t="s">
        <v>311</v>
      </c>
      <c r="C107" s="9" t="s">
        <v>312</v>
      </c>
      <c r="D107" s="19" t="n">
        <v>1590</v>
      </c>
      <c r="E107" s="9" t="s">
        <v>207</v>
      </c>
      <c r="F107" s="29" t="s">
        <v>208</v>
      </c>
      <c r="G107" s="30" t="n">
        <v>1600</v>
      </c>
      <c r="H107" s="30" t="n">
        <v>1569</v>
      </c>
      <c r="I107" s="30" t="n">
        <f aca="false">IF(F107="Vacant",0,H107-G107)</f>
        <v>-31</v>
      </c>
      <c r="J107" s="31" t="n">
        <v>43853</v>
      </c>
      <c r="K107" s="31" t="n">
        <v>46409</v>
      </c>
      <c r="L107" s="29" t="s">
        <v>209</v>
      </c>
      <c r="M107" s="32" t="n">
        <f aca="false">Assumptions!$B$33</f>
        <v>13000</v>
      </c>
      <c r="N107" s="30" t="n">
        <f aca="false">IF(L107="No",Assumptions!$B$34,0)</f>
        <v>0</v>
      </c>
      <c r="O107" s="30" t="n">
        <f aca="false">M107+N107</f>
        <v>13000</v>
      </c>
      <c r="P107" s="30" t="n">
        <f aca="false">G107+Assumptions!$B$37+IF(L107="No",Assumptions!$B$38,0)</f>
        <v>1725</v>
      </c>
    </row>
    <row r="108" customFormat="false" ht="15" hidden="false" customHeight="false" outlineLevel="0" collapsed="false">
      <c r="A108" s="9" t="s">
        <v>326</v>
      </c>
      <c r="B108" s="29" t="s">
        <v>311</v>
      </c>
      <c r="C108" s="9" t="s">
        <v>312</v>
      </c>
      <c r="D108" s="19" t="n">
        <v>1590</v>
      </c>
      <c r="E108" s="9" t="s">
        <v>207</v>
      </c>
      <c r="F108" s="29" t="s">
        <v>208</v>
      </c>
      <c r="G108" s="30" t="n">
        <v>1600</v>
      </c>
      <c r="H108" s="30" t="n">
        <v>1524</v>
      </c>
      <c r="I108" s="30" t="n">
        <f aca="false">IF(F108="Vacant",0,H108-G108)</f>
        <v>-76</v>
      </c>
      <c r="J108" s="31" t="n">
        <v>44802</v>
      </c>
      <c r="K108" s="31" t="n">
        <v>46262</v>
      </c>
      <c r="L108" s="29" t="s">
        <v>209</v>
      </c>
      <c r="M108" s="32" t="n">
        <f aca="false">Assumptions!$B$33</f>
        <v>13000</v>
      </c>
      <c r="N108" s="30" t="n">
        <f aca="false">IF(L108="No",Assumptions!$B$34,0)</f>
        <v>0</v>
      </c>
      <c r="O108" s="30" t="n">
        <f aca="false">M108+N108</f>
        <v>13000</v>
      </c>
      <c r="P108" s="30" t="n">
        <f aca="false">G108+Assumptions!$B$37+IF(L108="No",Assumptions!$B$38,0)</f>
        <v>1725</v>
      </c>
    </row>
    <row r="109" customFormat="false" ht="15" hidden="false" customHeight="false" outlineLevel="0" collapsed="false">
      <c r="A109" s="9" t="s">
        <v>327</v>
      </c>
      <c r="B109" s="29" t="s">
        <v>311</v>
      </c>
      <c r="C109" s="9" t="s">
        <v>312</v>
      </c>
      <c r="D109" s="19" t="n">
        <v>1590</v>
      </c>
      <c r="E109" s="9" t="s">
        <v>207</v>
      </c>
      <c r="F109" s="29" t="s">
        <v>208</v>
      </c>
      <c r="G109" s="30" t="n">
        <v>1600</v>
      </c>
      <c r="H109" s="30" t="n">
        <v>1557</v>
      </c>
      <c r="I109" s="30" t="n">
        <f aca="false">IF(F109="Vacant",0,H109-G109)</f>
        <v>-43</v>
      </c>
      <c r="J109" s="31" t="n">
        <v>45436</v>
      </c>
      <c r="K109" s="31" t="n">
        <v>46530</v>
      </c>
      <c r="L109" s="29" t="s">
        <v>209</v>
      </c>
      <c r="M109" s="32" t="n">
        <f aca="false">Assumptions!$B$33</f>
        <v>13000</v>
      </c>
      <c r="N109" s="30" t="n">
        <f aca="false">IF(L109="No",Assumptions!$B$34,0)</f>
        <v>0</v>
      </c>
      <c r="O109" s="30" t="n">
        <f aca="false">M109+N109</f>
        <v>13000</v>
      </c>
      <c r="P109" s="30" t="n">
        <f aca="false">G109+Assumptions!$B$37+IF(L109="No",Assumptions!$B$38,0)</f>
        <v>1725</v>
      </c>
    </row>
    <row r="110" customFormat="false" ht="15" hidden="false" customHeight="false" outlineLevel="0" collapsed="false">
      <c r="A110" s="9" t="s">
        <v>328</v>
      </c>
      <c r="B110" s="29" t="s">
        <v>311</v>
      </c>
      <c r="C110" s="9" t="s">
        <v>312</v>
      </c>
      <c r="D110" s="19" t="n">
        <v>1590</v>
      </c>
      <c r="E110" s="9" t="s">
        <v>207</v>
      </c>
      <c r="F110" s="29" t="s">
        <v>208</v>
      </c>
      <c r="G110" s="30" t="n">
        <v>1600</v>
      </c>
      <c r="H110" s="30" t="n">
        <v>1581</v>
      </c>
      <c r="I110" s="30" t="n">
        <f aca="false">IF(F110="Vacant",0,H110-G110)</f>
        <v>-19</v>
      </c>
      <c r="J110" s="31" t="n">
        <v>45653</v>
      </c>
      <c r="K110" s="31" t="n">
        <v>46382</v>
      </c>
      <c r="L110" s="29" t="s">
        <v>209</v>
      </c>
      <c r="M110" s="32" t="n">
        <f aca="false">Assumptions!$B$33</f>
        <v>13000</v>
      </c>
      <c r="N110" s="30" t="n">
        <f aca="false">IF(L110="No",Assumptions!$B$34,0)</f>
        <v>0</v>
      </c>
      <c r="O110" s="30" t="n">
        <f aca="false">M110+N110</f>
        <v>13000</v>
      </c>
      <c r="P110" s="30" t="n">
        <f aca="false">G110+Assumptions!$B$37+IF(L110="No",Assumptions!$B$38,0)</f>
        <v>1725</v>
      </c>
    </row>
    <row r="111" customFormat="false" ht="15" hidden="false" customHeight="false" outlineLevel="0" collapsed="false">
      <c r="A111" s="9" t="s">
        <v>329</v>
      </c>
      <c r="B111" s="29" t="s">
        <v>311</v>
      </c>
      <c r="C111" s="9" t="s">
        <v>312</v>
      </c>
      <c r="D111" s="19" t="n">
        <v>1590</v>
      </c>
      <c r="E111" s="9" t="s">
        <v>207</v>
      </c>
      <c r="F111" s="29" t="s">
        <v>208</v>
      </c>
      <c r="G111" s="30" t="n">
        <v>1600</v>
      </c>
      <c r="H111" s="30" t="n">
        <v>1565</v>
      </c>
      <c r="I111" s="30" t="n">
        <f aca="false">IF(F111="Vacant",0,H111-G111)</f>
        <v>-35</v>
      </c>
      <c r="J111" s="31" t="n">
        <v>45085</v>
      </c>
      <c r="K111" s="31" t="n">
        <v>46545</v>
      </c>
      <c r="L111" s="29" t="s">
        <v>209</v>
      </c>
      <c r="M111" s="32" t="n">
        <f aca="false">Assumptions!$B$33</f>
        <v>13000</v>
      </c>
      <c r="N111" s="30" t="n">
        <f aca="false">IF(L111="No",Assumptions!$B$34,0)</f>
        <v>0</v>
      </c>
      <c r="O111" s="30" t="n">
        <f aca="false">M111+N111</f>
        <v>13000</v>
      </c>
      <c r="P111" s="30" t="n">
        <f aca="false">G111+Assumptions!$B$37+IF(L111="No",Assumptions!$B$38,0)</f>
        <v>1725</v>
      </c>
    </row>
    <row r="112" customFormat="false" ht="15" hidden="false" customHeight="false" outlineLevel="0" collapsed="false">
      <c r="A112" s="9" t="s">
        <v>330</v>
      </c>
      <c r="B112" s="29" t="s">
        <v>311</v>
      </c>
      <c r="C112" s="9" t="s">
        <v>312</v>
      </c>
      <c r="D112" s="19" t="n">
        <v>1590</v>
      </c>
      <c r="E112" s="9" t="s">
        <v>207</v>
      </c>
      <c r="F112" s="29" t="s">
        <v>208</v>
      </c>
      <c r="G112" s="30" t="n">
        <v>1600</v>
      </c>
      <c r="H112" s="30" t="n">
        <v>1581</v>
      </c>
      <c r="I112" s="30" t="n">
        <f aca="false">IF(F112="Vacant",0,H112-G112)</f>
        <v>-19</v>
      </c>
      <c r="J112" s="31" t="n">
        <v>39255</v>
      </c>
      <c r="K112" s="31"/>
      <c r="L112" s="29" t="s">
        <v>209</v>
      </c>
      <c r="M112" s="32" t="n">
        <f aca="false">Assumptions!$B$33</f>
        <v>13000</v>
      </c>
      <c r="N112" s="30" t="n">
        <f aca="false">IF(L112="No",Assumptions!$B$34,0)</f>
        <v>0</v>
      </c>
      <c r="O112" s="30" t="n">
        <f aca="false">M112+N112</f>
        <v>13000</v>
      </c>
      <c r="P112" s="30" t="n">
        <f aca="false">G112+Assumptions!$B$37+IF(L112="No",Assumptions!$B$38,0)</f>
        <v>1725</v>
      </c>
    </row>
    <row r="113" customFormat="false" ht="15" hidden="false" customHeight="false" outlineLevel="0" collapsed="false">
      <c r="A113" s="9" t="s">
        <v>331</v>
      </c>
      <c r="B113" s="29" t="s">
        <v>311</v>
      </c>
      <c r="C113" s="9" t="s">
        <v>312</v>
      </c>
      <c r="D113" s="19" t="n">
        <v>1590</v>
      </c>
      <c r="E113" s="9" t="s">
        <v>207</v>
      </c>
      <c r="F113" s="29" t="s">
        <v>208</v>
      </c>
      <c r="G113" s="30" t="n">
        <v>1600</v>
      </c>
      <c r="H113" s="30" t="n">
        <v>1569</v>
      </c>
      <c r="I113" s="30" t="n">
        <f aca="false">IF(F113="Vacant",0,H113-G113)</f>
        <v>-31</v>
      </c>
      <c r="J113" s="31" t="n">
        <v>43982</v>
      </c>
      <c r="K113" s="31" t="n">
        <v>46418</v>
      </c>
      <c r="L113" s="29" t="s">
        <v>209</v>
      </c>
      <c r="M113" s="32" t="n">
        <f aca="false">Assumptions!$B$33</f>
        <v>13000</v>
      </c>
      <c r="N113" s="30" t="n">
        <f aca="false">IF(L113="No",Assumptions!$B$34,0)</f>
        <v>0</v>
      </c>
      <c r="O113" s="30" t="n">
        <f aca="false">M113+N113</f>
        <v>13000</v>
      </c>
      <c r="P113" s="30" t="n">
        <f aca="false">G113+Assumptions!$B$37+IF(L113="No",Assumptions!$B$38,0)</f>
        <v>1725</v>
      </c>
    </row>
    <row r="114" customFormat="false" ht="15" hidden="false" customHeight="false" outlineLevel="0" collapsed="false">
      <c r="A114" s="9" t="s">
        <v>332</v>
      </c>
      <c r="B114" s="29" t="s">
        <v>311</v>
      </c>
      <c r="C114" s="9" t="s">
        <v>312</v>
      </c>
      <c r="D114" s="19" t="n">
        <v>1590</v>
      </c>
      <c r="E114" s="9" t="s">
        <v>207</v>
      </c>
      <c r="F114" s="29" t="s">
        <v>208</v>
      </c>
      <c r="G114" s="30" t="n">
        <v>1600</v>
      </c>
      <c r="H114" s="30" t="n">
        <v>1581</v>
      </c>
      <c r="I114" s="30" t="n">
        <f aca="false">IF(F114="Vacant",0,H114-G114)</f>
        <v>-19</v>
      </c>
      <c r="J114" s="31" t="n">
        <v>45997</v>
      </c>
      <c r="K114" s="31" t="n">
        <v>46361</v>
      </c>
      <c r="L114" s="29" t="s">
        <v>209</v>
      </c>
      <c r="M114" s="32" t="n">
        <f aca="false">Assumptions!$B$33</f>
        <v>13000</v>
      </c>
      <c r="N114" s="30" t="n">
        <f aca="false">IF(L114="No",Assumptions!$B$34,0)</f>
        <v>0</v>
      </c>
      <c r="O114" s="30" t="n">
        <f aca="false">M114+N114</f>
        <v>13000</v>
      </c>
      <c r="P114" s="30" t="n">
        <f aca="false">G114+Assumptions!$B$37+IF(L114="No",Assumptions!$B$38,0)</f>
        <v>1725</v>
      </c>
    </row>
    <row r="115" customFormat="false" ht="15" hidden="false" customHeight="false" outlineLevel="0" collapsed="false">
      <c r="A115" s="9" t="s">
        <v>333</v>
      </c>
      <c r="B115" s="29" t="s">
        <v>311</v>
      </c>
      <c r="C115" s="9" t="s">
        <v>312</v>
      </c>
      <c r="D115" s="19" t="n">
        <v>1590</v>
      </c>
      <c r="E115" s="9" t="s">
        <v>207</v>
      </c>
      <c r="F115" s="29" t="s">
        <v>208</v>
      </c>
      <c r="G115" s="30" t="n">
        <v>1600</v>
      </c>
      <c r="H115" s="30" t="n">
        <v>1581</v>
      </c>
      <c r="I115" s="30" t="n">
        <f aca="false">IF(F115="Vacant",0,H115-G115)</f>
        <v>-19</v>
      </c>
      <c r="J115" s="31" t="n">
        <v>46127</v>
      </c>
      <c r="K115" s="31" t="n">
        <v>46521</v>
      </c>
      <c r="L115" s="29" t="s">
        <v>209</v>
      </c>
      <c r="M115" s="32" t="n">
        <f aca="false">Assumptions!$B$33</f>
        <v>13000</v>
      </c>
      <c r="N115" s="30" t="n">
        <f aca="false">IF(L115="No",Assumptions!$B$34,0)</f>
        <v>0</v>
      </c>
      <c r="O115" s="30" t="n">
        <f aca="false">M115+N115</f>
        <v>13000</v>
      </c>
      <c r="P115" s="30" t="n">
        <f aca="false">G115+Assumptions!$B$37+IF(L115="No",Assumptions!$B$38,0)</f>
        <v>1725</v>
      </c>
    </row>
    <row r="116" customFormat="false" ht="15" hidden="false" customHeight="false" outlineLevel="0" collapsed="false">
      <c r="A116" s="9" t="s">
        <v>334</v>
      </c>
      <c r="B116" s="29" t="s">
        <v>311</v>
      </c>
      <c r="C116" s="9" t="s">
        <v>312</v>
      </c>
      <c r="D116" s="19" t="n">
        <v>1590</v>
      </c>
      <c r="E116" s="9" t="s">
        <v>207</v>
      </c>
      <c r="F116" s="29" t="s">
        <v>208</v>
      </c>
      <c r="G116" s="30" t="n">
        <v>1600</v>
      </c>
      <c r="H116" s="30" t="n">
        <v>1549</v>
      </c>
      <c r="I116" s="30" t="n">
        <f aca="false">IF(F116="Vacant",0,H116-G116)</f>
        <v>-51</v>
      </c>
      <c r="J116" s="31" t="n">
        <v>44681</v>
      </c>
      <c r="K116" s="31" t="n">
        <v>46506</v>
      </c>
      <c r="L116" s="29" t="s">
        <v>209</v>
      </c>
      <c r="M116" s="32" t="n">
        <f aca="false">Assumptions!$B$33</f>
        <v>13000</v>
      </c>
      <c r="N116" s="30" t="n">
        <f aca="false">IF(L116="No",Assumptions!$B$34,0)</f>
        <v>0</v>
      </c>
      <c r="O116" s="30" t="n">
        <f aca="false">M116+N116</f>
        <v>13000</v>
      </c>
      <c r="P116" s="30" t="n">
        <f aca="false">G116+Assumptions!$B$37+IF(L116="No",Assumptions!$B$38,0)</f>
        <v>1725</v>
      </c>
    </row>
    <row r="117" customFormat="false" ht="15" hidden="false" customHeight="false" outlineLevel="0" collapsed="false">
      <c r="A117" s="9" t="s">
        <v>335</v>
      </c>
      <c r="B117" s="29" t="s">
        <v>311</v>
      </c>
      <c r="C117" s="9" t="s">
        <v>312</v>
      </c>
      <c r="D117" s="19" t="n">
        <v>1590</v>
      </c>
      <c r="E117" s="9" t="s">
        <v>207</v>
      </c>
      <c r="F117" s="29" t="s">
        <v>208</v>
      </c>
      <c r="G117" s="30" t="n">
        <v>1600</v>
      </c>
      <c r="H117" s="30" t="n">
        <v>1557</v>
      </c>
      <c r="I117" s="30" t="n">
        <f aca="false">IF(F117="Vacant",0,H117-G117)</f>
        <v>-43</v>
      </c>
      <c r="J117" s="31" t="n">
        <v>45730</v>
      </c>
      <c r="K117" s="31" t="n">
        <v>46459</v>
      </c>
      <c r="L117" s="29" t="s">
        <v>209</v>
      </c>
      <c r="M117" s="32" t="n">
        <f aca="false">Assumptions!$B$33</f>
        <v>13000</v>
      </c>
      <c r="N117" s="30" t="n">
        <f aca="false">IF(L117="No",Assumptions!$B$34,0)</f>
        <v>0</v>
      </c>
      <c r="O117" s="30" t="n">
        <f aca="false">M117+N117</f>
        <v>13000</v>
      </c>
      <c r="P117" s="30" t="n">
        <f aca="false">G117+Assumptions!$B$37+IF(L117="No",Assumptions!$B$38,0)</f>
        <v>1725</v>
      </c>
    </row>
    <row r="118" customFormat="false" ht="15" hidden="false" customHeight="false" outlineLevel="0" collapsed="false">
      <c r="A118" s="9" t="s">
        <v>336</v>
      </c>
      <c r="B118" s="29" t="s">
        <v>311</v>
      </c>
      <c r="C118" s="9" t="s">
        <v>312</v>
      </c>
      <c r="D118" s="19" t="n">
        <v>1590</v>
      </c>
      <c r="E118" s="9" t="s">
        <v>207</v>
      </c>
      <c r="F118" s="29" t="s">
        <v>208</v>
      </c>
      <c r="G118" s="30" t="n">
        <v>1600</v>
      </c>
      <c r="H118" s="30" t="n">
        <v>1524</v>
      </c>
      <c r="I118" s="30" t="n">
        <f aca="false">IF(F118="Vacant",0,H118-G118)</f>
        <v>-76</v>
      </c>
      <c r="J118" s="31" t="n">
        <v>45170</v>
      </c>
      <c r="K118" s="31" t="n">
        <v>46265</v>
      </c>
      <c r="L118" s="29" t="s">
        <v>209</v>
      </c>
      <c r="M118" s="32" t="n">
        <f aca="false">Assumptions!$B$33</f>
        <v>13000</v>
      </c>
      <c r="N118" s="30" t="n">
        <f aca="false">IF(L118="No",Assumptions!$B$34,0)</f>
        <v>0</v>
      </c>
      <c r="O118" s="30" t="n">
        <f aca="false">M118+N118</f>
        <v>13000</v>
      </c>
      <c r="P118" s="30" t="n">
        <f aca="false">G118+Assumptions!$B$37+IF(L118="No",Assumptions!$B$38,0)</f>
        <v>1725</v>
      </c>
    </row>
    <row r="119" customFormat="false" ht="15" hidden="false" customHeight="false" outlineLevel="0" collapsed="false">
      <c r="A119" s="9" t="s">
        <v>337</v>
      </c>
      <c r="B119" s="29" t="s">
        <v>311</v>
      </c>
      <c r="C119" s="9" t="s">
        <v>312</v>
      </c>
      <c r="D119" s="19" t="n">
        <v>1590</v>
      </c>
      <c r="E119" s="9" t="s">
        <v>239</v>
      </c>
      <c r="F119" s="29" t="s">
        <v>208</v>
      </c>
      <c r="G119" s="30" t="n">
        <v>1600</v>
      </c>
      <c r="H119" s="30" t="n">
        <v>1499</v>
      </c>
      <c r="I119" s="30" t="n">
        <f aca="false">IF(F119="Vacant",0,H119-G119)</f>
        <v>-101</v>
      </c>
      <c r="J119" s="31" t="n">
        <v>45990</v>
      </c>
      <c r="K119" s="31" t="n">
        <v>46384</v>
      </c>
      <c r="L119" s="29" t="s">
        <v>209</v>
      </c>
      <c r="M119" s="32" t="n">
        <f aca="false">Assumptions!$B$33</f>
        <v>13000</v>
      </c>
      <c r="N119" s="30" t="n">
        <f aca="false">IF(L119="No",Assumptions!$B$34,0)</f>
        <v>0</v>
      </c>
      <c r="O119" s="30" t="n">
        <f aca="false">M119+N119</f>
        <v>13000</v>
      </c>
      <c r="P119" s="30" t="n">
        <f aca="false">G119+Assumptions!$B$37+IF(L119="No",Assumptions!$B$38,0)</f>
        <v>1725</v>
      </c>
    </row>
    <row r="120" customFormat="false" ht="15" hidden="false" customHeight="false" outlineLevel="0" collapsed="false">
      <c r="A120" s="9" t="s">
        <v>338</v>
      </c>
      <c r="B120" s="29" t="s">
        <v>311</v>
      </c>
      <c r="C120" s="9" t="s">
        <v>312</v>
      </c>
      <c r="D120" s="19" t="n">
        <v>1590</v>
      </c>
      <c r="E120" s="9" t="s">
        <v>239</v>
      </c>
      <c r="F120" s="29" t="s">
        <v>208</v>
      </c>
      <c r="G120" s="30" t="n">
        <v>1600</v>
      </c>
      <c r="H120" s="30" t="n">
        <v>1559</v>
      </c>
      <c r="I120" s="30" t="n">
        <f aca="false">IF(F120="Vacant",0,H120-G120)</f>
        <v>-41</v>
      </c>
      <c r="J120" s="31" t="n">
        <v>45261</v>
      </c>
      <c r="K120" s="31" t="n">
        <v>46356</v>
      </c>
      <c r="L120" s="29" t="s">
        <v>209</v>
      </c>
      <c r="M120" s="32" t="n">
        <f aca="false">Assumptions!$B$33</f>
        <v>13000</v>
      </c>
      <c r="N120" s="30" t="n">
        <f aca="false">IF(L120="No",Assumptions!$B$34,0)</f>
        <v>0</v>
      </c>
      <c r="O120" s="30" t="n">
        <f aca="false">M120+N120</f>
        <v>13000</v>
      </c>
      <c r="P120" s="30" t="n">
        <f aca="false">G120+Assumptions!$B$37+IF(L120="No",Assumptions!$B$38,0)</f>
        <v>1725</v>
      </c>
    </row>
    <row r="121" customFormat="false" ht="15" hidden="false" customHeight="false" outlineLevel="0" collapsed="false">
      <c r="A121" s="9" t="s">
        <v>339</v>
      </c>
      <c r="B121" s="29" t="s">
        <v>311</v>
      </c>
      <c r="C121" s="9" t="s">
        <v>312</v>
      </c>
      <c r="D121" s="19" t="n">
        <v>1590</v>
      </c>
      <c r="E121" s="9" t="s">
        <v>241</v>
      </c>
      <c r="F121" s="29" t="s">
        <v>208</v>
      </c>
      <c r="G121" s="30" t="n">
        <v>1600</v>
      </c>
      <c r="H121" s="30" t="n">
        <v>1561</v>
      </c>
      <c r="I121" s="30" t="n">
        <f aca="false">IF(F121="Vacant",0,H121-G121)</f>
        <v>-39</v>
      </c>
      <c r="J121" s="31" t="n">
        <v>45120</v>
      </c>
      <c r="K121" s="31" t="n">
        <v>46215</v>
      </c>
      <c r="L121" s="29" t="s">
        <v>209</v>
      </c>
      <c r="M121" s="32" t="n">
        <f aca="false">Assumptions!$B$33</f>
        <v>13000</v>
      </c>
      <c r="N121" s="30" t="n">
        <f aca="false">IF(L121="No",Assumptions!$B$34,0)</f>
        <v>0</v>
      </c>
      <c r="O121" s="30" t="n">
        <f aca="false">M121+N121</f>
        <v>13000</v>
      </c>
      <c r="P121" s="30" t="n">
        <f aca="false">G121+Assumptions!$B$37+IF(L121="No",Assumptions!$B$38,0)</f>
        <v>1725</v>
      </c>
    </row>
    <row r="122" customFormat="false" ht="15" hidden="false" customHeight="false" outlineLevel="0" collapsed="false">
      <c r="A122" s="9" t="s">
        <v>340</v>
      </c>
      <c r="B122" s="29" t="s">
        <v>311</v>
      </c>
      <c r="C122" s="9" t="s">
        <v>312</v>
      </c>
      <c r="D122" s="19" t="n">
        <v>1590</v>
      </c>
      <c r="E122" s="9" t="s">
        <v>241</v>
      </c>
      <c r="F122" s="29" t="s">
        <v>208</v>
      </c>
      <c r="G122" s="30" t="n">
        <v>1600</v>
      </c>
      <c r="H122" s="30" t="n">
        <v>1565</v>
      </c>
      <c r="I122" s="30" t="n">
        <f aca="false">IF(F122="Vacant",0,H122-G122)</f>
        <v>-35</v>
      </c>
      <c r="J122" s="31" t="n">
        <v>45450</v>
      </c>
      <c r="K122" s="31" t="n">
        <v>46179</v>
      </c>
      <c r="L122" s="29" t="s">
        <v>209</v>
      </c>
      <c r="M122" s="32" t="n">
        <f aca="false">Assumptions!$B$33</f>
        <v>13000</v>
      </c>
      <c r="N122" s="30" t="n">
        <f aca="false">IF(L122="No",Assumptions!$B$34,0)</f>
        <v>0</v>
      </c>
      <c r="O122" s="30" t="n">
        <f aca="false">M122+N122</f>
        <v>13000</v>
      </c>
      <c r="P122" s="30" t="n">
        <f aca="false">G122+Assumptions!$B$37+IF(L122="No",Assumptions!$B$38,0)</f>
        <v>1725</v>
      </c>
    </row>
    <row r="123" customFormat="false" ht="15" hidden="false" customHeight="false" outlineLevel="0" collapsed="false">
      <c r="A123" s="9" t="s">
        <v>341</v>
      </c>
      <c r="B123" s="29" t="s">
        <v>311</v>
      </c>
      <c r="C123" s="9" t="s">
        <v>312</v>
      </c>
      <c r="D123" s="19" t="n">
        <v>1590</v>
      </c>
      <c r="E123" s="9" t="s">
        <v>306</v>
      </c>
      <c r="F123" s="33" t="s">
        <v>307</v>
      </c>
      <c r="G123" s="30" t="n">
        <v>1600</v>
      </c>
      <c r="H123" s="30"/>
      <c r="I123" s="30" t="n">
        <f aca="false">IF(F123="Vacant",0,H123-G123)</f>
        <v>0</v>
      </c>
      <c r="J123" s="31"/>
      <c r="K123" s="31"/>
      <c r="L123" s="29" t="s">
        <v>209</v>
      </c>
      <c r="M123" s="32" t="n">
        <f aca="false">Assumptions!$B$33</f>
        <v>13000</v>
      </c>
      <c r="N123" s="30" t="n">
        <f aca="false">IF(L123="No",Assumptions!$B$34,0)</f>
        <v>0</v>
      </c>
      <c r="O123" s="30" t="n">
        <f aca="false">M123+N123</f>
        <v>13000</v>
      </c>
      <c r="P123" s="30" t="n">
        <f aca="false">G123+Assumptions!$B$37+IF(L123="No",Assumptions!$B$38,0)</f>
        <v>1725</v>
      </c>
    </row>
    <row r="124" customFormat="false" ht="15" hidden="false" customHeight="false" outlineLevel="0" collapsed="false">
      <c r="A124" s="34" t="s">
        <v>342</v>
      </c>
      <c r="D124" s="35" t="n">
        <f aca="false">SUM(D6:D123)</f>
        <v>134371</v>
      </c>
      <c r="F124" s="36" t="str">
        <f aca="false">COUNTIF(F6:F123,"Occupied")&amp;" occ"</f>
        <v>114 occ</v>
      </c>
      <c r="G124" s="37" t="n">
        <f aca="false">SUM(G6:G123)</f>
        <v>153435</v>
      </c>
      <c r="H124" s="37" t="n">
        <f aca="false">SUM(H6:H123)</f>
        <v>144804.03</v>
      </c>
      <c r="I124" s="37" t="n">
        <f aca="false">SUM(I6:I123)</f>
        <v>-3260.97</v>
      </c>
      <c r="L124" s="36" t="str">
        <f aca="false">COUNTIF(L6:L123,"Yes")&amp;" w/ W/D"</f>
        <v>53 w/ W/D</v>
      </c>
      <c r="M124" s="37" t="n">
        <f aca="false">SUM(M6:M123)</f>
        <v>1534000</v>
      </c>
      <c r="N124" s="37" t="n">
        <f aca="false">SUM(N6:N123)</f>
        <v>325000</v>
      </c>
      <c r="O124" s="37" t="n">
        <f aca="false">SUM(O6:O123)</f>
        <v>1859000</v>
      </c>
      <c r="P124" s="37" t="n">
        <f aca="false">SUM(P6:P123)</f>
        <v>173060</v>
      </c>
    </row>
    <row r="126" customFormat="false" ht="15" hidden="false" customHeight="false" outlineLevel="0" collapsed="false">
      <c r="A126" s="38" t="s">
        <v>343</v>
      </c>
      <c r="B126" s="38"/>
      <c r="C126" s="38"/>
      <c r="D126" s="38"/>
      <c r="E126" s="38"/>
      <c r="F126" s="38"/>
      <c r="G126" s="38"/>
      <c r="H126" s="38"/>
      <c r="I126" s="38"/>
      <c r="J126" s="38"/>
      <c r="K126" s="38"/>
      <c r="L126" s="38"/>
      <c r="M126" s="38"/>
      <c r="N126" s="38"/>
      <c r="O126" s="38"/>
      <c r="P126" s="38"/>
    </row>
    <row r="127" customFormat="false" ht="15" hidden="false" customHeight="false" outlineLevel="0" collapsed="false">
      <c r="A127" s="38" t="s">
        <v>344</v>
      </c>
      <c r="B127" s="38"/>
      <c r="C127" s="38"/>
      <c r="D127" s="38"/>
      <c r="E127" s="38"/>
      <c r="F127" s="38"/>
      <c r="G127" s="38"/>
      <c r="H127" s="38"/>
      <c r="I127" s="38"/>
      <c r="J127" s="38"/>
      <c r="K127" s="38"/>
      <c r="L127" s="38"/>
      <c r="M127" s="38"/>
      <c r="N127" s="38"/>
      <c r="O127" s="38"/>
      <c r="P127" s="38"/>
    </row>
  </sheetData>
  <mergeCells count="2">
    <mergeCell ref="A126:P126"/>
    <mergeCell ref="A127:P127"/>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9"/>
    <col collapsed="false" customWidth="true" hidden="false" outlineLevel="0" max="5" min="3" style="0" width="8"/>
    <col collapsed="false" customWidth="true" hidden="false" outlineLevel="0" max="6" min="6" style="0" width="10"/>
    <col collapsed="false" customWidth="true" hidden="false" outlineLevel="0" max="7" min="7" style="0" width="9"/>
    <col collapsed="false" customWidth="true" hidden="false" outlineLevel="0" max="8" min="8" style="0" width="8"/>
    <col collapsed="false" customWidth="true" hidden="false" outlineLevel="0" max="10" min="9" style="0" width="11"/>
    <col collapsed="false" customWidth="true" hidden="false" outlineLevel="0" max="12" min="11" style="0" width="12"/>
    <col collapsed="false" customWidth="true" hidden="false" outlineLevel="0" max="13" min="13" style="0" width="10"/>
    <col collapsed="false" customWidth="true" hidden="false" outlineLevel="0" max="15" min="14" style="0" width="11"/>
    <col collapsed="false" customWidth="true" hidden="false" outlineLevel="0" max="16" min="16" style="0" width="12"/>
    <col collapsed="false" customWidth="true" hidden="false" outlineLevel="0" max="17" min="17" style="0" width="11"/>
  </cols>
  <sheetData>
    <row r="1" customFormat="false" ht="17.35" hidden="false" customHeight="false" outlineLevel="0" collapsed="false">
      <c r="A1" s="1" t="s">
        <v>0</v>
      </c>
    </row>
    <row r="2" customFormat="false" ht="15" hidden="false" customHeight="false" outlineLevel="0" collapsed="false">
      <c r="A2" s="2" t="s">
        <v>345</v>
      </c>
    </row>
    <row r="3" customFormat="false" ht="15" hidden="false" customHeight="false" outlineLevel="0" collapsed="false">
      <c r="A3" s="3" t="s">
        <v>2</v>
      </c>
    </row>
    <row r="5" customFormat="false" ht="31.5" hidden="false" customHeight="true" outlineLevel="0" collapsed="false">
      <c r="A5" s="28" t="s">
        <v>346</v>
      </c>
      <c r="B5" s="28" t="s">
        <v>347</v>
      </c>
      <c r="C5" s="28" t="s">
        <v>348</v>
      </c>
      <c r="D5" s="28" t="s">
        <v>349</v>
      </c>
      <c r="E5" s="28" t="s">
        <v>350</v>
      </c>
      <c r="F5" s="28" t="s">
        <v>351</v>
      </c>
      <c r="G5" s="28" t="s">
        <v>352</v>
      </c>
      <c r="H5" s="28" t="s">
        <v>353</v>
      </c>
      <c r="I5" s="28" t="s">
        <v>354</v>
      </c>
      <c r="J5" s="28" t="s">
        <v>355</v>
      </c>
      <c r="K5" s="28" t="s">
        <v>356</v>
      </c>
      <c r="L5" s="28" t="s">
        <v>357</v>
      </c>
      <c r="M5" s="28" t="s">
        <v>358</v>
      </c>
      <c r="N5" s="28" t="s">
        <v>359</v>
      </c>
      <c r="O5" s="28" t="s">
        <v>360</v>
      </c>
      <c r="P5" s="28" t="s">
        <v>361</v>
      </c>
      <c r="Q5" s="28" t="s">
        <v>362</v>
      </c>
    </row>
    <row r="6" customFormat="false" ht="15" hidden="false" customHeight="false" outlineLevel="0" collapsed="false">
      <c r="A6" s="9" t="s">
        <v>213</v>
      </c>
      <c r="B6" s="29" t="s">
        <v>363</v>
      </c>
      <c r="C6" s="16" t="n">
        <v>15</v>
      </c>
      <c r="D6" s="39" t="n">
        <f aca="false">C6/$C$13</f>
        <v>0.127118644067797</v>
      </c>
      <c r="E6" s="16" t="n">
        <v>712</v>
      </c>
      <c r="F6" s="40" t="n">
        <f aca="false">C6*E6</f>
        <v>10680</v>
      </c>
      <c r="G6" s="41" t="s">
        <v>214</v>
      </c>
      <c r="H6" s="16" t="n">
        <v>15</v>
      </c>
      <c r="I6" s="42" t="n">
        <v>1050</v>
      </c>
      <c r="J6" s="43" t="n">
        <f aca="false">I6/E6</f>
        <v>1.4747191011236</v>
      </c>
      <c r="K6" s="42" t="n">
        <v>15618</v>
      </c>
      <c r="L6" s="30" t="n">
        <f aca="false">IF(H6=0,0,K6/H6)</f>
        <v>1041.2</v>
      </c>
      <c r="M6" s="39" t="n">
        <f aca="false">IF(H6=0,0,L6/I6-1)</f>
        <v>-0.00838095238095238</v>
      </c>
      <c r="N6" s="30" t="n">
        <f aca="false">Assumptions!$B$33+IF(G6="No",Assumptions!$B$34,0)</f>
        <v>18000</v>
      </c>
      <c r="O6" s="30" t="n">
        <f aca="false">Assumptions!$B$37+IF(G6="No",Assumptions!$B$38,0)</f>
        <v>200</v>
      </c>
      <c r="P6" s="44" t="n">
        <f aca="false">I6+O6</f>
        <v>1250</v>
      </c>
      <c r="Q6" s="43" t="n">
        <f aca="false">P6/E6</f>
        <v>1.75561797752809</v>
      </c>
    </row>
    <row r="7" customFormat="false" ht="15" hidden="false" customHeight="false" outlineLevel="0" collapsed="false">
      <c r="A7" s="9" t="s">
        <v>206</v>
      </c>
      <c r="B7" s="29" t="s">
        <v>363</v>
      </c>
      <c r="C7" s="16" t="n">
        <v>15</v>
      </c>
      <c r="D7" s="39" t="n">
        <f aca="false">C7/$C$13</f>
        <v>0.127118644067797</v>
      </c>
      <c r="E7" s="16" t="n">
        <v>712</v>
      </c>
      <c r="F7" s="40" t="n">
        <f aca="false">C7*E7</f>
        <v>10680</v>
      </c>
      <c r="G7" s="41" t="s">
        <v>209</v>
      </c>
      <c r="H7" s="16" t="n">
        <v>15</v>
      </c>
      <c r="I7" s="42" t="n">
        <v>1125</v>
      </c>
      <c r="J7" s="43" t="n">
        <f aca="false">I7/E7</f>
        <v>1.58005617977528</v>
      </c>
      <c r="K7" s="42" t="n">
        <v>16385</v>
      </c>
      <c r="L7" s="30" t="n">
        <f aca="false">IF(H7=0,0,K7/H7)</f>
        <v>1092.33333333333</v>
      </c>
      <c r="M7" s="39" t="n">
        <f aca="false">IF(H7=0,0,L7/I7-1)</f>
        <v>-0.0290370370370371</v>
      </c>
      <c r="N7" s="30" t="n">
        <f aca="false">Assumptions!$B$33+IF(G7="No",Assumptions!$B$34,0)</f>
        <v>13000</v>
      </c>
      <c r="O7" s="30" t="n">
        <f aca="false">Assumptions!$B$37+IF(G7="No",Assumptions!$B$38,0)</f>
        <v>125</v>
      </c>
      <c r="P7" s="44" t="n">
        <f aca="false">I7+O7</f>
        <v>1250</v>
      </c>
      <c r="Q7" s="43" t="n">
        <f aca="false">P7/E7</f>
        <v>1.75561797752809</v>
      </c>
    </row>
    <row r="8" customFormat="false" ht="15" hidden="false" customHeight="false" outlineLevel="0" collapsed="false">
      <c r="A8" s="9" t="s">
        <v>245</v>
      </c>
      <c r="B8" s="29" t="s">
        <v>364</v>
      </c>
      <c r="C8" s="16" t="n">
        <v>4</v>
      </c>
      <c r="D8" s="39" t="n">
        <f aca="false">C8/$C$13</f>
        <v>0.0338983050847458</v>
      </c>
      <c r="E8" s="16" t="n">
        <v>852</v>
      </c>
      <c r="F8" s="40" t="n">
        <f aca="false">C8*E8</f>
        <v>3408</v>
      </c>
      <c r="G8" s="41" t="s">
        <v>209</v>
      </c>
      <c r="H8" s="16" t="n">
        <v>4</v>
      </c>
      <c r="I8" s="42" t="n">
        <v>1165</v>
      </c>
      <c r="J8" s="43" t="n">
        <f aca="false">I8/E8</f>
        <v>1.36737089201878</v>
      </c>
      <c r="K8" s="42" t="n">
        <v>4656</v>
      </c>
      <c r="L8" s="30" t="n">
        <f aca="false">IF(H8=0,0,K8/H8)</f>
        <v>1164</v>
      </c>
      <c r="M8" s="39" t="n">
        <f aca="false">IF(H8=0,0,L8/I8-1)</f>
        <v>-0.000858369098712397</v>
      </c>
      <c r="N8" s="30" t="n">
        <f aca="false">Assumptions!$B$33+IF(G8="No",Assumptions!$B$34,0)</f>
        <v>13000</v>
      </c>
      <c r="O8" s="30" t="n">
        <f aca="false">Assumptions!$B$37+IF(G8="No",Assumptions!$B$38,0)</f>
        <v>125</v>
      </c>
      <c r="P8" s="44" t="n">
        <f aca="false">I8+O8</f>
        <v>1290</v>
      </c>
      <c r="Q8" s="43" t="n">
        <f aca="false">P8/E8</f>
        <v>1.51408450704225</v>
      </c>
    </row>
    <row r="9" customFormat="false" ht="15" hidden="false" customHeight="false" outlineLevel="0" collapsed="false">
      <c r="A9" s="9" t="s">
        <v>251</v>
      </c>
      <c r="B9" s="29" t="s">
        <v>365</v>
      </c>
      <c r="C9" s="16" t="n">
        <v>4</v>
      </c>
      <c r="D9" s="39" t="n">
        <f aca="false">C9/$C$13</f>
        <v>0.0338983050847458</v>
      </c>
      <c r="E9" s="16" t="n">
        <v>1182</v>
      </c>
      <c r="F9" s="40" t="n">
        <f aca="false">C9*E9</f>
        <v>4728</v>
      </c>
      <c r="G9" s="41" t="s">
        <v>209</v>
      </c>
      <c r="H9" s="16" t="n">
        <v>4</v>
      </c>
      <c r="I9" s="42" t="n">
        <v>1350</v>
      </c>
      <c r="J9" s="43" t="n">
        <f aca="false">I9/E9</f>
        <v>1.14213197969543</v>
      </c>
      <c r="K9" s="42" t="n">
        <v>5352</v>
      </c>
      <c r="L9" s="30" t="n">
        <f aca="false">IF(H9=0,0,K9/H9)</f>
        <v>1338</v>
      </c>
      <c r="M9" s="39" t="n">
        <f aca="false">IF(H9=0,0,L9/I9-1)</f>
        <v>-0.00888888888888884</v>
      </c>
      <c r="N9" s="30" t="n">
        <f aca="false">Assumptions!$B$33+IF(G9="No",Assumptions!$B$34,0)</f>
        <v>13000</v>
      </c>
      <c r="O9" s="30" t="n">
        <f aca="false">Assumptions!$B$37+IF(G9="No",Assumptions!$B$38,0)</f>
        <v>125</v>
      </c>
      <c r="P9" s="44" t="n">
        <f aca="false">I9+O9</f>
        <v>1475</v>
      </c>
      <c r="Q9" s="43" t="n">
        <f aca="false">P9/E9</f>
        <v>1.24788494077834</v>
      </c>
    </row>
    <row r="10" customFormat="false" ht="15" hidden="false" customHeight="false" outlineLevel="0" collapsed="false">
      <c r="A10" s="9" t="s">
        <v>257</v>
      </c>
      <c r="B10" s="29" t="s">
        <v>366</v>
      </c>
      <c r="C10" s="16" t="n">
        <v>25</v>
      </c>
      <c r="D10" s="39" t="n">
        <f aca="false">C10/$C$13</f>
        <v>0.211864406779661</v>
      </c>
      <c r="E10" s="16" t="n">
        <v>1105</v>
      </c>
      <c r="F10" s="40" t="n">
        <f aca="false">C10*E10</f>
        <v>27625</v>
      </c>
      <c r="G10" s="41" t="s">
        <v>214</v>
      </c>
      <c r="H10" s="16" t="n">
        <v>24</v>
      </c>
      <c r="I10" s="42" t="n">
        <v>1250</v>
      </c>
      <c r="J10" s="43" t="n">
        <f aca="false">I10/E10</f>
        <v>1.13122171945701</v>
      </c>
      <c r="K10" s="42" t="n">
        <v>28580.03</v>
      </c>
      <c r="L10" s="30" t="n">
        <f aca="false">IF(H10=0,0,K10/H10)</f>
        <v>1190.83458333333</v>
      </c>
      <c r="M10" s="39" t="n">
        <f aca="false">IF(H10=0,0,L10/I10-1)</f>
        <v>-0.0473323333333334</v>
      </c>
      <c r="N10" s="30" t="n">
        <f aca="false">Assumptions!$B$33+IF(G10="No",Assumptions!$B$34,0)</f>
        <v>18000</v>
      </c>
      <c r="O10" s="30" t="n">
        <f aca="false">Assumptions!$B$37+IF(G10="No",Assumptions!$B$38,0)</f>
        <v>200</v>
      </c>
      <c r="P10" s="44" t="n">
        <f aca="false">I10+O10</f>
        <v>1450</v>
      </c>
      <c r="Q10" s="43" t="n">
        <f aca="false">P10/E10</f>
        <v>1.31221719457014</v>
      </c>
    </row>
    <row r="11" customFormat="false" ht="15" hidden="false" customHeight="false" outlineLevel="0" collapsed="false">
      <c r="A11" s="9" t="s">
        <v>259</v>
      </c>
      <c r="B11" s="29" t="s">
        <v>366</v>
      </c>
      <c r="C11" s="16" t="n">
        <v>25</v>
      </c>
      <c r="D11" s="39" t="n">
        <f aca="false">C11/$C$13</f>
        <v>0.211864406779661</v>
      </c>
      <c r="E11" s="16" t="n">
        <v>1182</v>
      </c>
      <c r="F11" s="40" t="n">
        <f aca="false">C11*E11</f>
        <v>29550</v>
      </c>
      <c r="G11" s="41" t="s">
        <v>214</v>
      </c>
      <c r="H11" s="16" t="n">
        <v>23</v>
      </c>
      <c r="I11" s="42" t="n">
        <v>1260</v>
      </c>
      <c r="J11" s="43" t="n">
        <f aca="false">I11/E11</f>
        <v>1.06598984771574</v>
      </c>
      <c r="K11" s="42" t="n">
        <v>28802</v>
      </c>
      <c r="L11" s="30" t="n">
        <f aca="false">IF(H11=0,0,K11/H11)</f>
        <v>1252.26086956522</v>
      </c>
      <c r="M11" s="39" t="n">
        <f aca="false">IF(H11=0,0,L11/I11-1)</f>
        <v>-0.0061421670117322</v>
      </c>
      <c r="N11" s="30" t="n">
        <f aca="false">Assumptions!$B$33+IF(G11="No",Assumptions!$B$34,0)</f>
        <v>18000</v>
      </c>
      <c r="O11" s="30" t="n">
        <f aca="false">Assumptions!$B$37+IF(G11="No",Assumptions!$B$38,0)</f>
        <v>200</v>
      </c>
      <c r="P11" s="44" t="n">
        <f aca="false">I11+O11</f>
        <v>1460</v>
      </c>
      <c r="Q11" s="43" t="n">
        <f aca="false">P11/E11</f>
        <v>1.23519458544839</v>
      </c>
    </row>
    <row r="12" customFormat="false" ht="15" hidden="false" customHeight="false" outlineLevel="0" collapsed="false">
      <c r="A12" s="9" t="s">
        <v>312</v>
      </c>
      <c r="B12" s="29" t="s">
        <v>367</v>
      </c>
      <c r="C12" s="16" t="n">
        <v>30</v>
      </c>
      <c r="D12" s="39" t="n">
        <f aca="false">C12/$C$13</f>
        <v>0.254237288135593</v>
      </c>
      <c r="E12" s="16" t="n">
        <v>1590</v>
      </c>
      <c r="F12" s="40" t="n">
        <f aca="false">C12*E12</f>
        <v>47700</v>
      </c>
      <c r="G12" s="41" t="s">
        <v>209</v>
      </c>
      <c r="H12" s="16" t="n">
        <v>29</v>
      </c>
      <c r="I12" s="42" t="n">
        <v>1600</v>
      </c>
      <c r="J12" s="43" t="n">
        <f aca="false">I12/E12</f>
        <v>1.0062893081761</v>
      </c>
      <c r="K12" s="42" t="n">
        <v>45411</v>
      </c>
      <c r="L12" s="30" t="n">
        <f aca="false">IF(H12=0,0,K12/H12)</f>
        <v>1565.89655172414</v>
      </c>
      <c r="M12" s="39" t="n">
        <f aca="false">IF(H12=0,0,L12/I12-1)</f>
        <v>-0.0213146551724138</v>
      </c>
      <c r="N12" s="30" t="n">
        <f aca="false">Assumptions!$B$33+IF(G12="No",Assumptions!$B$34,0)</f>
        <v>13000</v>
      </c>
      <c r="O12" s="30" t="n">
        <f aca="false">Assumptions!$B$37+IF(G12="No",Assumptions!$B$38,0)</f>
        <v>125</v>
      </c>
      <c r="P12" s="44" t="n">
        <f aca="false">I12+O12</f>
        <v>1725</v>
      </c>
      <c r="Q12" s="43" t="n">
        <f aca="false">P12/E12</f>
        <v>1.08490566037736</v>
      </c>
    </row>
    <row r="13" customFormat="false" ht="15" hidden="false" customHeight="false" outlineLevel="0" collapsed="false">
      <c r="A13" s="34" t="s">
        <v>368</v>
      </c>
      <c r="C13" s="45" t="n">
        <f aca="false">SUM(C6:C12)</f>
        <v>118</v>
      </c>
      <c r="D13" s="46" t="n">
        <f aca="false">SUM(D6:D12)</f>
        <v>1</v>
      </c>
      <c r="E13" s="45" t="n">
        <f aca="false">F13/C13</f>
        <v>1138.73728813559</v>
      </c>
      <c r="F13" s="45" t="n">
        <f aca="false">SUM(F6:F12)</f>
        <v>134371</v>
      </c>
      <c r="G13" s="36" t="str">
        <f aca="false">SUMIF(G6:G12,"Yes",C6:C12)&amp;" of "&amp;C13</f>
        <v>53 of 118</v>
      </c>
      <c r="H13" s="45" t="n">
        <f aca="false">SUM(H6:H12)</f>
        <v>114</v>
      </c>
      <c r="I13" s="47" t="n">
        <f aca="false">SUMPRODUCT(C6:C12,I6:I12)/C13</f>
        <v>1300.29661016949</v>
      </c>
      <c r="J13" s="48" t="n">
        <f aca="false">SUMPRODUCT(C6:C12,I6:I12)/F13</f>
        <v>1.14187585118813</v>
      </c>
      <c r="K13" s="47" t="n">
        <f aca="false">SUM(K6:K12)</f>
        <v>144804.03</v>
      </c>
      <c r="L13" s="47" t="n">
        <f aca="false">K13/H13</f>
        <v>1270.21078947368</v>
      </c>
      <c r="M13" s="46" t="n">
        <f aca="false">L13/(SUMPRODUCT(H6:H12,I6:I12)/H13)-1</f>
        <v>-0.0220239084185999</v>
      </c>
      <c r="N13" s="47" t="n">
        <f aca="false">SUMPRODUCT(C6:C12,N6:N12)/C13</f>
        <v>15754.2372881356</v>
      </c>
      <c r="O13" s="47" t="n">
        <f aca="false">SUMPRODUCT(C6:C12,O6:O12)/C13</f>
        <v>166.313559322034</v>
      </c>
      <c r="P13" s="47" t="n">
        <f aca="false">SUMPRODUCT(C6:C12,P6:P12)/C13</f>
        <v>1466.61016949153</v>
      </c>
      <c r="Q13" s="48" t="n">
        <f aca="false">SUMPRODUCT(C6:C12,P6:P12)/F13</f>
        <v>1.28792671037649</v>
      </c>
    </row>
    <row r="15" customFormat="false" ht="15" hidden="false" customHeight="false" outlineLevel="0" collapsed="false">
      <c r="A15" s="49" t="s">
        <v>369</v>
      </c>
      <c r="B15" s="49"/>
      <c r="C15" s="49"/>
      <c r="D15" s="49"/>
    </row>
    <row r="16" customFormat="false" ht="15" hidden="false" customHeight="false" outlineLevel="0" collapsed="false">
      <c r="A16" s="50" t="s">
        <v>370</v>
      </c>
      <c r="B16" s="50"/>
      <c r="C16" s="50"/>
      <c r="D16" s="44" t="n">
        <f aca="false">SUMPRODUCT(C6:C12,I6:I12)</f>
        <v>153435</v>
      </c>
    </row>
    <row r="17" customFormat="false" ht="15" hidden="false" customHeight="false" outlineLevel="0" collapsed="false">
      <c r="A17" s="50" t="s">
        <v>371</v>
      </c>
      <c r="B17" s="50"/>
      <c r="C17" s="50"/>
      <c r="D17" s="44" t="n">
        <f aca="false">SUMPRODUCT(C6:C12,P6:P12)</f>
        <v>173060</v>
      </c>
    </row>
    <row r="18" customFormat="false" ht="15" hidden="false" customHeight="false" outlineLevel="0" collapsed="false">
      <c r="A18" s="50" t="s">
        <v>372</v>
      </c>
      <c r="B18" s="50"/>
      <c r="C18" s="50"/>
      <c r="D18" s="44" t="n">
        <f aca="false">D16/C13</f>
        <v>1300.29661016949</v>
      </c>
    </row>
    <row r="19" customFormat="false" ht="15" hidden="false" customHeight="false" outlineLevel="0" collapsed="false">
      <c r="A19" s="50" t="s">
        <v>373</v>
      </c>
      <c r="B19" s="50"/>
      <c r="C19" s="50"/>
      <c r="D19" s="44" t="n">
        <f aca="false">D17/C13</f>
        <v>1466.61016949153</v>
      </c>
    </row>
    <row r="20" customFormat="false" ht="15" hidden="false" customHeight="false" outlineLevel="0" collapsed="false">
      <c r="A20" s="50" t="s">
        <v>374</v>
      </c>
      <c r="B20" s="50"/>
      <c r="C20" s="50"/>
      <c r="D20" s="44" t="n">
        <f aca="false">SUMPRODUCT((C6:C12-H6:H12),I6:I12)</f>
        <v>5370</v>
      </c>
    </row>
    <row r="21" customFormat="false" ht="15" hidden="false" customHeight="false" outlineLevel="0" collapsed="false">
      <c r="A21" s="50" t="s">
        <v>375</v>
      </c>
      <c r="B21" s="50"/>
      <c r="C21" s="50"/>
      <c r="D21" s="44" t="n">
        <f aca="false">SUMPRODUCT(C6:C12,N6:N12)</f>
        <v>1859000</v>
      </c>
    </row>
    <row r="22" customFormat="false" ht="15" hidden="false" customHeight="false" outlineLevel="0" collapsed="false">
      <c r="A22" s="50" t="s">
        <v>376</v>
      </c>
      <c r="B22" s="50"/>
      <c r="C22" s="50"/>
      <c r="D22" s="51" t="n">
        <f aca="false">SUMIF(G6:G12,"No",C6:C12)</f>
        <v>65</v>
      </c>
    </row>
    <row r="24" customFormat="false" ht="15" hidden="false" customHeight="false" outlineLevel="0" collapsed="false">
      <c r="A24" s="38" t="s">
        <v>377</v>
      </c>
      <c r="B24" s="38"/>
      <c r="C24" s="38"/>
      <c r="D24" s="38"/>
      <c r="E24" s="38"/>
      <c r="F24" s="38"/>
      <c r="G24" s="38"/>
      <c r="H24" s="38"/>
      <c r="I24" s="38"/>
      <c r="J24" s="38"/>
      <c r="K24" s="38"/>
      <c r="L24" s="38"/>
      <c r="M24" s="38"/>
      <c r="N24" s="38"/>
      <c r="O24" s="38"/>
      <c r="P24" s="38"/>
      <c r="Q24" s="38"/>
    </row>
  </sheetData>
  <mergeCells count="9">
    <mergeCell ref="A15:D15"/>
    <mergeCell ref="A16:C16"/>
    <mergeCell ref="A17:C17"/>
    <mergeCell ref="A18:C18"/>
    <mergeCell ref="A19:C19"/>
    <mergeCell ref="A20:C20"/>
    <mergeCell ref="A21:C21"/>
    <mergeCell ref="A22:C22"/>
    <mergeCell ref="A24:Q24"/>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5" min="2" style="0" width="14"/>
    <col collapsed="false" customWidth="true" hidden="false" outlineLevel="0" max="6" min="6" style="0" width="76"/>
  </cols>
  <sheetData>
    <row r="1" customFormat="false" ht="17.35" hidden="false" customHeight="false" outlineLevel="0" collapsed="false">
      <c r="A1" s="1" t="s">
        <v>0</v>
      </c>
    </row>
    <row r="2" customFormat="false" ht="15" hidden="false" customHeight="false" outlineLevel="0" collapsed="false">
      <c r="A2" s="2" t="s">
        <v>378</v>
      </c>
    </row>
    <row r="3" customFormat="false" ht="15" hidden="false" customHeight="false" outlineLevel="0" collapsed="false">
      <c r="A3" s="3" t="s">
        <v>2</v>
      </c>
    </row>
    <row r="5" customFormat="false" ht="15" hidden="false" customHeight="false" outlineLevel="0" collapsed="false">
      <c r="A5" s="4" t="s">
        <v>379</v>
      </c>
      <c r="B5" s="4"/>
      <c r="C5" s="4"/>
      <c r="D5" s="4"/>
      <c r="E5" s="4"/>
      <c r="F5" s="4"/>
    </row>
    <row r="6" customFormat="false" ht="15" hidden="false" customHeight="false" outlineLevel="0" collapsed="false">
      <c r="A6" s="5"/>
      <c r="B6" s="25" t="s">
        <v>380</v>
      </c>
      <c r="C6" s="25" t="s">
        <v>381</v>
      </c>
      <c r="D6" s="25" t="s">
        <v>382</v>
      </c>
      <c r="E6" s="25" t="s">
        <v>383</v>
      </c>
      <c r="F6" s="7" t="s">
        <v>384</v>
      </c>
    </row>
    <row r="7" customFormat="false" ht="22.35" hidden="false" customHeight="false" outlineLevel="0" collapsed="false">
      <c r="A7" s="9" t="s">
        <v>385</v>
      </c>
      <c r="B7" s="42" t="n">
        <v>1813657</v>
      </c>
      <c r="C7" s="30" t="n">
        <f aca="false">B7/Assumptions!$B$17</f>
        <v>15369.9745762712</v>
      </c>
      <c r="D7" s="32" t="n">
        <f aca="false">'Annual Model'!C21</f>
        <v>1906611.9240336</v>
      </c>
      <c r="E7" s="39" t="n">
        <f aca="false">IF(B7=0,"n/a",D7/B7-1)</f>
        <v>0.0512527583956595</v>
      </c>
      <c r="F7" s="11" t="s">
        <v>386</v>
      </c>
    </row>
    <row r="8" customFormat="false" ht="15" hidden="false" customHeight="false" outlineLevel="0" collapsed="false">
      <c r="A8" s="9" t="s">
        <v>387</v>
      </c>
      <c r="B8" s="42" t="n">
        <v>-31322.94</v>
      </c>
      <c r="C8" s="30" t="n">
        <f aca="false">B8/Assumptions!$B$17</f>
        <v>-265.448644067797</v>
      </c>
      <c r="D8" s="32" t="n">
        <f aca="false">'Annual Model'!C23</f>
        <v>-41945.4623287391</v>
      </c>
      <c r="E8" s="39" t="n">
        <f aca="false">IF(B8=0,"n/a",D8/B8-1)</f>
        <v>0.339129159930042</v>
      </c>
      <c r="F8" s="11" t="s">
        <v>388</v>
      </c>
    </row>
    <row r="9" customFormat="false" ht="22.35" hidden="false" customHeight="false" outlineLevel="0" collapsed="false">
      <c r="A9" s="9" t="s">
        <v>389</v>
      </c>
      <c r="B9" s="42" t="n">
        <v>-171096</v>
      </c>
      <c r="C9" s="30" t="n">
        <f aca="false">B9/Assumptions!$B$17</f>
        <v>-1449.96610169492</v>
      </c>
      <c r="D9" s="32" t="n">
        <f aca="false">'Annual Model'!C24+'Annual Model'!C25</f>
        <v>-126748.400976245</v>
      </c>
      <c r="E9" s="39" t="n">
        <f aca="false">IF(B9=0,"n/a",D9/B9-1)</f>
        <v>-0.259197170148661</v>
      </c>
      <c r="F9" s="11" t="s">
        <v>390</v>
      </c>
    </row>
    <row r="10" customFormat="false" ht="15" hidden="false" customHeight="false" outlineLevel="0" collapsed="false">
      <c r="A10" s="9" t="s">
        <v>391</v>
      </c>
      <c r="B10" s="42" t="n">
        <v>-9688</v>
      </c>
      <c r="C10" s="30" t="n">
        <f aca="false">B10/Assumptions!$B$17</f>
        <v>-82.1016949152542</v>
      </c>
      <c r="D10" s="32" t="n">
        <f aca="false">'Annual Model'!C26</f>
        <v>-14299.589430252</v>
      </c>
      <c r="E10" s="39" t="n">
        <f aca="false">IF(B10=0,"n/a",D10/B10-1)</f>
        <v>0.476010469679188</v>
      </c>
      <c r="F10" s="11" t="s">
        <v>392</v>
      </c>
    </row>
    <row r="11" customFormat="false" ht="22.35" hidden="false" customHeight="false" outlineLevel="0" collapsed="false">
      <c r="A11" s="9" t="s">
        <v>393</v>
      </c>
      <c r="B11" s="42" t="n">
        <v>-9179.26</v>
      </c>
      <c r="C11" s="30" t="n">
        <f aca="false">B11/Assumptions!$B$17</f>
        <v>-77.7903389830508</v>
      </c>
      <c r="D11" s="32" t="n">
        <f aca="false">'Annual Model'!C27</f>
        <v>-28599.1788605039</v>
      </c>
      <c r="E11" s="39" t="n">
        <f aca="false">IF(B11=0,"n/a",D11/B11-1)</f>
        <v>2.11563011185041</v>
      </c>
      <c r="F11" s="11" t="s">
        <v>394</v>
      </c>
    </row>
    <row r="12" customFormat="false" ht="15" hidden="false" customHeight="false" outlineLevel="0" collapsed="false">
      <c r="A12" s="34" t="s">
        <v>395</v>
      </c>
      <c r="B12" s="37" t="n">
        <v>1592370.8</v>
      </c>
      <c r="C12" s="37" t="n">
        <f aca="false">B12/Assumptions!$B$17</f>
        <v>13494.6677966102</v>
      </c>
      <c r="D12" s="52" t="n">
        <f aca="false">'Annual Model'!C28</f>
        <v>1695019.29243786</v>
      </c>
      <c r="E12" s="53" t="n">
        <f aca="false">IF(B12=0,"n/a",D12/B12-1)</f>
        <v>0.0644626819569014</v>
      </c>
      <c r="F12" s="11"/>
    </row>
    <row r="14" customFormat="false" ht="15" hidden="false" customHeight="false" outlineLevel="0" collapsed="false">
      <c r="A14" s="7" t="s">
        <v>396</v>
      </c>
    </row>
    <row r="15" customFormat="false" ht="15" hidden="false" customHeight="false" outlineLevel="0" collapsed="false">
      <c r="A15" s="9" t="s">
        <v>397</v>
      </c>
      <c r="B15" s="42" t="n">
        <v>16197</v>
      </c>
      <c r="C15" s="30" t="n">
        <f aca="false">B15/Assumptions!$B$17</f>
        <v>137.262711864407</v>
      </c>
    </row>
    <row r="16" customFormat="false" ht="15" hidden="false" customHeight="false" outlineLevel="0" collapsed="false">
      <c r="A16" s="9" t="s">
        <v>398</v>
      </c>
      <c r="B16" s="42" t="n">
        <v>141</v>
      </c>
      <c r="C16" s="30" t="n">
        <f aca="false">B16/Assumptions!$B$17</f>
        <v>1.19491525423729</v>
      </c>
    </row>
    <row r="17" customFormat="false" ht="15" hidden="false" customHeight="false" outlineLevel="0" collapsed="false">
      <c r="A17" s="9" t="s">
        <v>399</v>
      </c>
      <c r="B17" s="42" t="n">
        <v>2346.11</v>
      </c>
      <c r="C17" s="30" t="n">
        <f aca="false">B17/Assumptions!$B$17</f>
        <v>19.8822881355932</v>
      </c>
    </row>
    <row r="18" customFormat="false" ht="15" hidden="false" customHeight="false" outlineLevel="0" collapsed="false">
      <c r="A18" s="9" t="s">
        <v>400</v>
      </c>
      <c r="B18" s="42" t="n">
        <v>200</v>
      </c>
      <c r="C18" s="30" t="n">
        <f aca="false">B18/Assumptions!$B$17</f>
        <v>1.69491525423729</v>
      </c>
    </row>
    <row r="19" customFormat="false" ht="15" hidden="false" customHeight="false" outlineLevel="0" collapsed="false">
      <c r="A19" s="9" t="s">
        <v>401</v>
      </c>
      <c r="B19" s="42" t="n">
        <v>5250</v>
      </c>
      <c r="C19" s="30" t="n">
        <f aca="false">B19/Assumptions!$B$17</f>
        <v>44.4915254237288</v>
      </c>
    </row>
    <row r="20" customFormat="false" ht="15" hidden="false" customHeight="false" outlineLevel="0" collapsed="false">
      <c r="A20" s="9" t="s">
        <v>402</v>
      </c>
      <c r="B20" s="42" t="n">
        <v>97811.57</v>
      </c>
      <c r="C20" s="30" t="n">
        <f aca="false">B20/Assumptions!$B$17</f>
        <v>828.911610169492</v>
      </c>
    </row>
    <row r="21" customFormat="false" ht="15" hidden="false" customHeight="false" outlineLevel="0" collapsed="false">
      <c r="A21" s="9" t="s">
        <v>403</v>
      </c>
      <c r="B21" s="42" t="n">
        <v>13553</v>
      </c>
      <c r="C21" s="30" t="n">
        <f aca="false">B21/Assumptions!$B$17</f>
        <v>114.85593220339</v>
      </c>
    </row>
    <row r="22" customFormat="false" ht="15" hidden="false" customHeight="false" outlineLevel="0" collapsed="false">
      <c r="A22" s="9" t="s">
        <v>404</v>
      </c>
      <c r="B22" s="42" t="n">
        <v>4000</v>
      </c>
      <c r="C22" s="30" t="n">
        <f aca="false">B22/Assumptions!$B$17</f>
        <v>33.8983050847458</v>
      </c>
    </row>
    <row r="23" customFormat="false" ht="15" hidden="false" customHeight="false" outlineLevel="0" collapsed="false">
      <c r="A23" s="9" t="s">
        <v>405</v>
      </c>
      <c r="B23" s="42" t="n">
        <v>3095.96</v>
      </c>
      <c r="C23" s="30" t="n">
        <f aca="false">B23/Assumptions!$B$17</f>
        <v>26.2369491525424</v>
      </c>
    </row>
    <row r="24" customFormat="false" ht="15" hidden="false" customHeight="false" outlineLevel="0" collapsed="false">
      <c r="A24" s="9" t="s">
        <v>406</v>
      </c>
      <c r="B24" s="42" t="n">
        <v>209</v>
      </c>
      <c r="C24" s="30" t="n">
        <f aca="false">B24/Assumptions!$B$17</f>
        <v>1.77118644067797</v>
      </c>
    </row>
    <row r="25" customFormat="false" ht="15" hidden="false" customHeight="false" outlineLevel="0" collapsed="false">
      <c r="A25" s="9" t="s">
        <v>407</v>
      </c>
      <c r="B25" s="42" t="n">
        <v>7050</v>
      </c>
      <c r="C25" s="30" t="n">
        <f aca="false">B25/Assumptions!$B$17</f>
        <v>59.7457627118644</v>
      </c>
    </row>
    <row r="26" customFormat="false" ht="15" hidden="false" customHeight="false" outlineLevel="0" collapsed="false">
      <c r="A26" s="9" t="s">
        <v>408</v>
      </c>
      <c r="B26" s="42" t="n">
        <v>545.93</v>
      </c>
      <c r="C26" s="30" t="n">
        <f aca="false">B26/Assumptions!$B$17</f>
        <v>4.62652542372881</v>
      </c>
    </row>
    <row r="27" customFormat="false" ht="15" hidden="false" customHeight="false" outlineLevel="0" collapsed="false">
      <c r="A27" s="9" t="s">
        <v>409</v>
      </c>
      <c r="B27" s="42" t="n">
        <v>500</v>
      </c>
      <c r="C27" s="30" t="n">
        <f aca="false">B27/Assumptions!$B$17</f>
        <v>4.23728813559322</v>
      </c>
    </row>
    <row r="28" customFormat="false" ht="15" hidden="false" customHeight="false" outlineLevel="0" collapsed="false">
      <c r="A28" s="9" t="s">
        <v>410</v>
      </c>
      <c r="B28" s="42" t="n">
        <v>6440.71</v>
      </c>
      <c r="C28" s="30" t="n">
        <f aca="false">B28/Assumptions!$B$17</f>
        <v>54.5822881355932</v>
      </c>
    </row>
    <row r="29" customFormat="false" ht="15" hidden="false" customHeight="false" outlineLevel="0" collapsed="false">
      <c r="A29" s="9" t="s">
        <v>411</v>
      </c>
      <c r="B29" s="42" t="n">
        <v>9675</v>
      </c>
      <c r="C29" s="30" t="n">
        <f aca="false">B29/Assumptions!$B$17</f>
        <v>81.9915254237288</v>
      </c>
    </row>
    <row r="30" customFormat="false" ht="15" hidden="false" customHeight="false" outlineLevel="0" collapsed="false">
      <c r="A30" s="9" t="s">
        <v>412</v>
      </c>
      <c r="B30" s="42" t="n">
        <v>500</v>
      </c>
      <c r="C30" s="30" t="n">
        <f aca="false">B30/Assumptions!$B$17</f>
        <v>4.23728813559322</v>
      </c>
    </row>
    <row r="31" customFormat="false" ht="15" hidden="false" customHeight="false" outlineLevel="0" collapsed="false">
      <c r="A31" s="9" t="s">
        <v>413</v>
      </c>
      <c r="B31" s="42" t="n">
        <v>5614.85</v>
      </c>
      <c r="C31" s="30" t="n">
        <f aca="false">B31/Assumptions!$B$17</f>
        <v>47.5834745762712</v>
      </c>
    </row>
    <row r="32" customFormat="false" ht="15" hidden="false" customHeight="false" outlineLevel="0" collapsed="false">
      <c r="A32" s="9" t="s">
        <v>414</v>
      </c>
      <c r="B32" s="42" t="n">
        <v>20467.4</v>
      </c>
      <c r="C32" s="30" t="n">
        <f aca="false">B32/Assumptions!$B$17</f>
        <v>173.452542372881</v>
      </c>
    </row>
    <row r="33" customFormat="false" ht="22.35" hidden="false" customHeight="false" outlineLevel="0" collapsed="false">
      <c r="A33" s="34" t="s">
        <v>415</v>
      </c>
      <c r="B33" s="37" t="n">
        <f aca="false">SUM(B15:B32)</f>
        <v>193597.53</v>
      </c>
      <c r="C33" s="37" t="n">
        <f aca="false">B33/Assumptions!$B$17</f>
        <v>1640.65703389831</v>
      </c>
      <c r="D33" s="52" t="n">
        <f aca="false">'Other Income'!C25</f>
        <v>238318.9</v>
      </c>
      <c r="E33" s="53" t="n">
        <f aca="false">IF(B33=0,"n/a",D33/B33-1)</f>
        <v>0.231001759165006</v>
      </c>
      <c r="F33" s="11" t="s">
        <v>416</v>
      </c>
    </row>
    <row r="34" customFormat="false" ht="15" hidden="false" customHeight="false" outlineLevel="0" collapsed="false">
      <c r="A34" s="9" t="s">
        <v>417</v>
      </c>
      <c r="B34" s="42" t="n">
        <v>4132.89</v>
      </c>
      <c r="C34" s="30" t="n">
        <f aca="false">B34/Assumptions!$B$17</f>
        <v>35.0244915254237</v>
      </c>
      <c r="F34" s="11" t="s">
        <v>418</v>
      </c>
    </row>
    <row r="36" customFormat="false" ht="15" hidden="false" customHeight="false" outlineLevel="0" collapsed="false">
      <c r="A36" s="4" t="s">
        <v>419</v>
      </c>
      <c r="B36" s="4"/>
      <c r="C36" s="4"/>
      <c r="D36" s="4"/>
      <c r="E36" s="4"/>
      <c r="F36" s="4"/>
    </row>
    <row r="37" customFormat="false" ht="15" hidden="false" customHeight="false" outlineLevel="0" collapsed="false">
      <c r="A37" s="5"/>
      <c r="B37" s="25" t="s">
        <v>380</v>
      </c>
      <c r="C37" s="25" t="s">
        <v>381</v>
      </c>
      <c r="D37" s="25" t="s">
        <v>382</v>
      </c>
      <c r="E37" s="25" t="s">
        <v>383</v>
      </c>
      <c r="F37" s="7" t="s">
        <v>384</v>
      </c>
    </row>
    <row r="38" customFormat="false" ht="30" hidden="false" customHeight="true" outlineLevel="0" collapsed="false">
      <c r="A38" s="9" t="s">
        <v>420</v>
      </c>
      <c r="B38" s="42" t="n">
        <v>227969.28</v>
      </c>
      <c r="C38" s="30" t="n">
        <f aca="false">B38/Assumptions!$B$17</f>
        <v>1931.94305084746</v>
      </c>
      <c r="D38" s="32" t="n">
        <f aca="false">Assumptions!$B$55</f>
        <v>235000</v>
      </c>
      <c r="E38" s="39" t="n">
        <f aca="false">D38/B38-1</f>
        <v>0.0308406465994016</v>
      </c>
      <c r="F38" s="11" t="s">
        <v>421</v>
      </c>
    </row>
    <row r="39" customFormat="false" ht="30" hidden="false" customHeight="true" outlineLevel="0" collapsed="false">
      <c r="A39" s="9" t="s">
        <v>422</v>
      </c>
      <c r="B39" s="42" t="n">
        <v>62064.01</v>
      </c>
      <c r="C39" s="30" t="n">
        <f aca="false">B39/Assumptions!$B$17</f>
        <v>525.966186440678</v>
      </c>
      <c r="D39" s="32" t="n">
        <f aca="false">'Annual Model'!C36</f>
        <v>77333.5276975143</v>
      </c>
      <c r="E39" s="39" t="n">
        <f aca="false">D39/B39-1</f>
        <v>0.246028538882909</v>
      </c>
      <c r="F39" s="11" t="s">
        <v>423</v>
      </c>
    </row>
    <row r="40" customFormat="false" ht="30" hidden="false" customHeight="true" outlineLevel="0" collapsed="false">
      <c r="A40" s="9" t="s">
        <v>156</v>
      </c>
      <c r="B40" s="42" t="n">
        <v>26399.14</v>
      </c>
      <c r="C40" s="30" t="n">
        <f aca="false">B40/Assumptions!$B$17</f>
        <v>223.721525423729</v>
      </c>
      <c r="D40" s="32" t="n">
        <f aca="false">Assumptions!$B$57</f>
        <v>28000</v>
      </c>
      <c r="E40" s="39" t="n">
        <f aca="false">D40/B40-1</f>
        <v>0.0606406117775049</v>
      </c>
      <c r="F40" s="11" t="s">
        <v>424</v>
      </c>
    </row>
    <row r="41" customFormat="false" ht="30" hidden="false" customHeight="true" outlineLevel="0" collapsed="false">
      <c r="A41" s="9" t="s">
        <v>158</v>
      </c>
      <c r="B41" s="42" t="n">
        <v>62885.88</v>
      </c>
      <c r="C41" s="30" t="n">
        <f aca="false">B41/Assumptions!$B$17</f>
        <v>532.931186440678</v>
      </c>
      <c r="D41" s="32" t="n">
        <f aca="false">Assumptions!$B$58</f>
        <v>50000</v>
      </c>
      <c r="E41" s="39" t="n">
        <f aca="false">D41/B41-1</f>
        <v>-0.204908955714701</v>
      </c>
      <c r="F41" s="11" t="s">
        <v>425</v>
      </c>
    </row>
    <row r="42" customFormat="false" ht="30" hidden="false" customHeight="true" outlineLevel="0" collapsed="false">
      <c r="A42" s="9" t="s">
        <v>426</v>
      </c>
      <c r="B42" s="42" t="n">
        <v>11068.2</v>
      </c>
      <c r="C42" s="30" t="n">
        <f aca="false">B42/Assumptions!$B$17</f>
        <v>93.7983050847458</v>
      </c>
      <c r="D42" s="32" t="n">
        <f aca="false">Assumptions!$B$59</f>
        <v>39577</v>
      </c>
      <c r="E42" s="39" t="n">
        <f aca="false">D42/B42-1</f>
        <v>2.57573950597206</v>
      </c>
      <c r="F42" s="11" t="s">
        <v>427</v>
      </c>
    </row>
    <row r="43" customFormat="false" ht="30" hidden="false" customHeight="true" outlineLevel="0" collapsed="false">
      <c r="A43" s="9" t="s">
        <v>162</v>
      </c>
      <c r="B43" s="42" t="n">
        <v>30319.93</v>
      </c>
      <c r="C43" s="30" t="n">
        <f aca="false">B43/Assumptions!$B$17</f>
        <v>256.948559322034</v>
      </c>
      <c r="D43" s="32" t="n">
        <f aca="false">Assumptions!$B$60</f>
        <v>31000</v>
      </c>
      <c r="E43" s="39" t="n">
        <f aca="false">D43/B43-1</f>
        <v>0.022429801124211</v>
      </c>
      <c r="F43" s="11" t="s">
        <v>428</v>
      </c>
    </row>
    <row r="44" customFormat="false" ht="30" hidden="false" customHeight="true" outlineLevel="0" collapsed="false">
      <c r="A44" s="9" t="s">
        <v>164</v>
      </c>
      <c r="B44" s="42" t="n">
        <v>15330.1</v>
      </c>
      <c r="C44" s="30" t="n">
        <f aca="false">B44/Assumptions!$B$17</f>
        <v>129.916101694915</v>
      </c>
      <c r="D44" s="32" t="n">
        <f aca="false">Assumptions!$B$61</f>
        <v>16000</v>
      </c>
      <c r="E44" s="39" t="n">
        <f aca="false">D44/B44-1</f>
        <v>0.0436983450858115</v>
      </c>
      <c r="F44" s="11" t="s">
        <v>429</v>
      </c>
    </row>
    <row r="45" customFormat="false" ht="30" hidden="false" customHeight="true" outlineLevel="0" collapsed="false">
      <c r="A45" s="9" t="s">
        <v>166</v>
      </c>
      <c r="B45" s="42" t="n">
        <v>86468.36</v>
      </c>
      <c r="C45" s="30" t="n">
        <f aca="false">B45/Assumptions!$B$17</f>
        <v>732.782711864407</v>
      </c>
      <c r="D45" s="32" t="n">
        <f aca="false">Assumptions!$B$62</f>
        <v>90000</v>
      </c>
      <c r="E45" s="39" t="n">
        <f aca="false">D45/B45-1</f>
        <v>0.0408431477132214</v>
      </c>
      <c r="F45" s="11" t="s">
        <v>430</v>
      </c>
    </row>
    <row r="46" customFormat="false" ht="30" hidden="false" customHeight="true" outlineLevel="0" collapsed="false">
      <c r="A46" s="9" t="s">
        <v>168</v>
      </c>
      <c r="B46" s="42" t="n">
        <v>250934.72</v>
      </c>
      <c r="C46" s="30" t="n">
        <f aca="false">B46/Assumptions!$B$17</f>
        <v>2126.56542372881</v>
      </c>
      <c r="D46" s="32" t="n">
        <f aca="false">Assumptions!$B$63</f>
        <v>255000</v>
      </c>
      <c r="E46" s="39" t="n">
        <f aca="false">D46/B46-1</f>
        <v>0.0162005480947396</v>
      </c>
      <c r="F46" s="11" t="s">
        <v>431</v>
      </c>
    </row>
    <row r="47" customFormat="false" ht="30" hidden="false" customHeight="true" outlineLevel="0" collapsed="false">
      <c r="A47" s="9" t="s">
        <v>52</v>
      </c>
      <c r="B47" s="42" t="n">
        <v>94611.24</v>
      </c>
      <c r="C47" s="30" t="n">
        <f aca="false">B47/Assumptions!$B$17</f>
        <v>801.790169491526</v>
      </c>
      <c r="D47" s="32" t="n">
        <f aca="false">Assumptions!$B$64</f>
        <v>95000</v>
      </c>
      <c r="E47" s="39" t="n">
        <f aca="false">D47/B47-1</f>
        <v>0.0041090255238172</v>
      </c>
      <c r="F47" s="11" t="s">
        <v>432</v>
      </c>
    </row>
    <row r="48" customFormat="false" ht="30" hidden="false" customHeight="true" outlineLevel="0" collapsed="false">
      <c r="A48" s="9" t="s">
        <v>171</v>
      </c>
      <c r="B48" s="42" t="n">
        <v>149676.52</v>
      </c>
      <c r="C48" s="30" t="n">
        <f aca="false">B48/Assumptions!$B$17</f>
        <v>1268.44508474576</v>
      </c>
      <c r="D48" s="32" t="n">
        <f aca="false">'Annual Model'!C45</f>
        <v>140000</v>
      </c>
      <c r="E48" s="39" t="n">
        <f aca="false">D48/B48-1</f>
        <v>-0.0646495522477406</v>
      </c>
      <c r="F48" s="11" t="s">
        <v>433</v>
      </c>
    </row>
    <row r="49" customFormat="false" ht="15" hidden="false" customHeight="false" outlineLevel="0" collapsed="false">
      <c r="A49" s="34" t="s">
        <v>434</v>
      </c>
      <c r="B49" s="37" t="n">
        <f aca="false">SUM(B38:B48)</f>
        <v>1017727.38</v>
      </c>
      <c r="C49" s="37" t="n">
        <f aca="false">B49/Assumptions!$B$17</f>
        <v>8624.80830508475</v>
      </c>
      <c r="D49" s="52" t="n">
        <f aca="false">'Annual Model'!C46</f>
        <v>1056910.52769751</v>
      </c>
      <c r="E49" s="53" t="n">
        <f aca="false">D49/B49-1</f>
        <v>0.038500632357473</v>
      </c>
    </row>
    <row r="50" customFormat="false" ht="15" hidden="false" customHeight="false" outlineLevel="0" collapsed="false">
      <c r="A50" s="54" t="s">
        <v>435</v>
      </c>
      <c r="B50" s="55" t="n">
        <f aca="false">B12+B33-B49</f>
        <v>768240.95</v>
      </c>
      <c r="C50" s="55" t="n">
        <f aca="false">B50/Assumptions!$B$17</f>
        <v>6510.51652542373</v>
      </c>
      <c r="D50" s="56" t="n">
        <f aca="false">'Annual Model'!C50</f>
        <v>876427.664740342</v>
      </c>
      <c r="E50" s="57" t="n">
        <f aca="false">D50/B50-1</f>
        <v>0.140823936475063</v>
      </c>
    </row>
    <row r="52" customFormat="false" ht="15" hidden="false" customHeight="false" outlineLevel="0" collapsed="false">
      <c r="A52" s="5" t="s">
        <v>436</v>
      </c>
    </row>
    <row r="53" customFormat="false" ht="22.35" hidden="false" customHeight="false" outlineLevel="0" collapsed="false">
      <c r="A53" s="9" t="s">
        <v>437</v>
      </c>
      <c r="B53" s="42" t="n">
        <v>108412.44</v>
      </c>
      <c r="C53" s="30" t="n">
        <f aca="false">B53/Assumptions!$B$17</f>
        <v>918.749491525424</v>
      </c>
      <c r="F53" s="11" t="s">
        <v>438</v>
      </c>
    </row>
    <row r="54" customFormat="false" ht="15" hidden="false" customHeight="false" outlineLevel="0" collapsed="false">
      <c r="A54" s="9" t="s">
        <v>439</v>
      </c>
      <c r="B54" s="42" t="n">
        <v>167811.52</v>
      </c>
      <c r="C54" s="30" t="n">
        <f aca="false">B54/Assumptions!$B$17</f>
        <v>1422.13152542373</v>
      </c>
      <c r="F54" s="11" t="s">
        <v>440</v>
      </c>
    </row>
    <row r="56" customFormat="false" ht="15" hidden="false" customHeight="false" outlineLevel="0" collapsed="false">
      <c r="A56" s="58" t="s">
        <v>441</v>
      </c>
    </row>
    <row r="57" customFormat="false" ht="15" hidden="false" customHeight="false" outlineLevel="0" collapsed="false">
      <c r="A57" s="58" t="s">
        <v>442</v>
      </c>
    </row>
  </sheetData>
  <mergeCells count="2">
    <mergeCell ref="A5:F5"/>
    <mergeCell ref="A36:F36"/>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7" min="2" style="0" width="13"/>
    <col collapsed="false" customWidth="true" hidden="false" outlineLevel="0" max="8" min="8" style="0" width="62"/>
  </cols>
  <sheetData>
    <row r="1" customFormat="false" ht="17.35" hidden="false" customHeight="false" outlineLevel="0" collapsed="false">
      <c r="A1" s="1" t="s">
        <v>0</v>
      </c>
    </row>
    <row r="2" customFormat="false" ht="15" hidden="false" customHeight="false" outlineLevel="0" collapsed="false">
      <c r="A2" s="2" t="s">
        <v>443</v>
      </c>
    </row>
    <row r="3" customFormat="false" ht="15" hidden="false" customHeight="false" outlineLevel="0" collapsed="false">
      <c r="A3" s="3" t="s">
        <v>2</v>
      </c>
    </row>
    <row r="5" customFormat="false" ht="15" hidden="false" customHeight="false" outlineLevel="0" collapsed="false">
      <c r="A5" s="5"/>
      <c r="B5" s="25" t="s">
        <v>380</v>
      </c>
      <c r="C5" s="25" t="s">
        <v>132</v>
      </c>
      <c r="D5" s="25" t="s">
        <v>133</v>
      </c>
      <c r="E5" s="25" t="s">
        <v>134</v>
      </c>
      <c r="F5" s="25" t="s">
        <v>135</v>
      </c>
      <c r="G5" s="25" t="s">
        <v>136</v>
      </c>
      <c r="H5" s="7" t="s">
        <v>151</v>
      </c>
    </row>
    <row r="6" customFormat="false" ht="27.75" hidden="false" customHeight="true" outlineLevel="0" collapsed="false">
      <c r="A6" s="9" t="s">
        <v>444</v>
      </c>
      <c r="C6" s="14" t="n">
        <v>0.85</v>
      </c>
      <c r="D6" s="14" t="n">
        <v>1</v>
      </c>
      <c r="E6" s="14" t="n">
        <v>1</v>
      </c>
      <c r="F6" s="14" t="n">
        <v>1</v>
      </c>
      <c r="G6" s="14" t="n">
        <v>1</v>
      </c>
      <c r="H6" s="11" t="s">
        <v>445</v>
      </c>
    </row>
    <row r="7" customFormat="false" ht="27.75" hidden="false" customHeight="true" outlineLevel="0" collapsed="false">
      <c r="A7" s="9" t="s">
        <v>446</v>
      </c>
      <c r="C7" s="14" t="n">
        <v>0.75</v>
      </c>
      <c r="D7" s="14" t="n">
        <v>0.95</v>
      </c>
      <c r="E7" s="14" t="n">
        <v>1</v>
      </c>
      <c r="F7" s="14" t="n">
        <v>1</v>
      </c>
      <c r="G7" s="14" t="n">
        <v>1</v>
      </c>
      <c r="H7" s="11" t="s">
        <v>447</v>
      </c>
    </row>
    <row r="8" customFormat="false" ht="27.75" hidden="false" customHeight="true" outlineLevel="0" collapsed="false">
      <c r="A8" s="9" t="s">
        <v>448</v>
      </c>
      <c r="C8" s="14" t="n">
        <v>0.5</v>
      </c>
      <c r="D8" s="14" t="n">
        <v>1</v>
      </c>
      <c r="E8" s="14" t="n">
        <v>1</v>
      </c>
      <c r="F8" s="14" t="n">
        <v>1</v>
      </c>
      <c r="G8" s="14" t="n">
        <v>1</v>
      </c>
      <c r="H8" s="11" t="s">
        <v>449</v>
      </c>
    </row>
    <row r="9" customFormat="false" ht="15" hidden="false" customHeight="false" outlineLevel="0" collapsed="false">
      <c r="A9" s="9" t="s">
        <v>450</v>
      </c>
      <c r="C9" s="14" t="n">
        <v>0.95</v>
      </c>
      <c r="D9" s="14" t="n">
        <v>0.95</v>
      </c>
      <c r="E9" s="14" t="n">
        <v>0.95</v>
      </c>
      <c r="F9" s="14" t="n">
        <v>0.95</v>
      </c>
      <c r="G9" s="14" t="n">
        <v>0.95</v>
      </c>
      <c r="H9" s="11" t="s">
        <v>451</v>
      </c>
    </row>
    <row r="11" customFormat="false" ht="15" hidden="false" customHeight="false" outlineLevel="0" collapsed="false">
      <c r="A11" s="7" t="s">
        <v>452</v>
      </c>
    </row>
    <row r="12" customFormat="false" ht="25.5" hidden="false" customHeight="true" outlineLevel="0" collapsed="false">
      <c r="A12" s="9" t="s">
        <v>453</v>
      </c>
      <c r="B12" s="42" t="n">
        <v>97811.57</v>
      </c>
      <c r="C12" s="30" t="n">
        <f aca="false">0.85*Assumptions!$B$62</f>
        <v>76500</v>
      </c>
      <c r="D12" s="30" t="n">
        <f aca="false">C12*(1+Assumptions!$C$62)</f>
        <v>79560</v>
      </c>
      <c r="E12" s="30" t="n">
        <f aca="false">D12*(1+Assumptions!$C$62)</f>
        <v>82742.4</v>
      </c>
      <c r="F12" s="30" t="n">
        <f aca="false">E12*(1+Assumptions!$C$62)</f>
        <v>86052.096</v>
      </c>
      <c r="G12" s="30" t="n">
        <f aca="false">F12*(1+Assumptions!$C$62)</f>
        <v>89494.17984</v>
      </c>
      <c r="H12" s="11" t="s">
        <v>454</v>
      </c>
    </row>
    <row r="13" customFormat="false" ht="25.5" hidden="false" customHeight="true" outlineLevel="0" collapsed="false">
      <c r="A13" s="9" t="s">
        <v>455</v>
      </c>
      <c r="B13" s="42" t="n">
        <v>0</v>
      </c>
      <c r="C13" s="30" t="n">
        <f aca="false">25*12*Assumptions!$B$17*C$9*C$7</f>
        <v>25222.5</v>
      </c>
      <c r="D13" s="30" t="n">
        <f aca="false">C13/C$7*D$7*(1+Assumptions!D$51)</f>
        <v>32906.955</v>
      </c>
      <c r="E13" s="30" t="n">
        <f aca="false">D13/D$7*E$7*(1+Assumptions!E$51)</f>
        <v>35678.067</v>
      </c>
      <c r="F13" s="30" t="n">
        <f aca="false">E13/E$7*F$7*(1+Assumptions!F$51)</f>
        <v>36748.40901</v>
      </c>
      <c r="G13" s="30" t="n">
        <f aca="false">F13/F$7*G$7*(1+Assumptions!G$51)</f>
        <v>37850.8612803</v>
      </c>
      <c r="H13" s="11" t="s">
        <v>456</v>
      </c>
    </row>
    <row r="14" customFormat="false" ht="25.5" hidden="false" customHeight="true" outlineLevel="0" collapsed="false">
      <c r="A14" s="9" t="s">
        <v>457</v>
      </c>
      <c r="B14" s="42" t="n">
        <v>13553</v>
      </c>
      <c r="C14" s="30" t="n">
        <f aca="false">49*12*Assumptions!$B$17*C$9*C$6</f>
        <v>56027.58</v>
      </c>
      <c r="D14" s="30" t="n">
        <f aca="false">C14/C$6*D$6*(1+Assumptions!D$51)</f>
        <v>67892.244</v>
      </c>
      <c r="E14" s="30" t="n">
        <f aca="false">D14/D$6*E$6*(1+Assumptions!E$51)</f>
        <v>69929.01132</v>
      </c>
      <c r="F14" s="30" t="n">
        <f aca="false">E14/E$6*F$6*(1+Assumptions!F$51)</f>
        <v>72026.8816596</v>
      </c>
      <c r="G14" s="30" t="n">
        <f aca="false">F14/F$6*G$6*(1+Assumptions!G$51)</f>
        <v>74187.688109388</v>
      </c>
      <c r="H14" s="11" t="s">
        <v>458</v>
      </c>
    </row>
    <row r="15" customFormat="false" ht="25.5" hidden="false" customHeight="true" outlineLevel="0" collapsed="false">
      <c r="A15" s="9" t="s">
        <v>459</v>
      </c>
      <c r="B15" s="42" t="n">
        <v>16197</v>
      </c>
      <c r="C15" s="30" t="n">
        <f aca="false">B15</f>
        <v>16197</v>
      </c>
      <c r="D15" s="30" t="n">
        <f aca="false">C15*(1+Assumptions!D$51)</f>
        <v>16682.91</v>
      </c>
      <c r="E15" s="30" t="n">
        <f aca="false">D15*(1+Assumptions!E$51)</f>
        <v>17183.3973</v>
      </c>
      <c r="F15" s="30" t="n">
        <f aca="false">E15*(1+Assumptions!F$51)</f>
        <v>17698.899219</v>
      </c>
      <c r="G15" s="30" t="n">
        <f aca="false">F15*(1+Assumptions!G$51)</f>
        <v>18229.86619557</v>
      </c>
      <c r="H15" s="11" t="s">
        <v>460</v>
      </c>
    </row>
    <row r="16" customFormat="false" ht="25.5" hidden="false" customHeight="true" outlineLevel="0" collapsed="false">
      <c r="A16" s="9" t="s">
        <v>461</v>
      </c>
      <c r="B16" s="42" t="n">
        <v>500</v>
      </c>
      <c r="C16" s="30" t="n">
        <f aca="false">30*12*Assumptions!$B$17*0.25*C$8</f>
        <v>5310</v>
      </c>
      <c r="D16" s="30" t="n">
        <f aca="false">C16/C$8*D$8*(1+Assumptions!D$51)</f>
        <v>10938.6</v>
      </c>
      <c r="E16" s="30" t="n">
        <f aca="false">D16/D$8*E$8*(1+Assumptions!E$51)</f>
        <v>11266.758</v>
      </c>
      <c r="F16" s="30" t="n">
        <f aca="false">E16/E$8*F$8*(1+Assumptions!F$51)</f>
        <v>11604.76074</v>
      </c>
      <c r="G16" s="30" t="n">
        <f aca="false">F16/F$8*G$8*(1+Assumptions!G$51)</f>
        <v>11952.9035622</v>
      </c>
      <c r="H16" s="11" t="s">
        <v>462</v>
      </c>
    </row>
    <row r="17" customFormat="false" ht="25.5" hidden="false" customHeight="true" outlineLevel="0" collapsed="false">
      <c r="A17" s="9" t="s">
        <v>463</v>
      </c>
      <c r="B17" s="42" t="n">
        <v>141</v>
      </c>
      <c r="C17" s="30" t="n">
        <f aca="false">3600</f>
        <v>3600</v>
      </c>
      <c r="D17" s="30" t="n">
        <f aca="false">C17*(1+Assumptions!D$51)</f>
        <v>3708</v>
      </c>
      <c r="E17" s="30" t="n">
        <f aca="false">D17*(1+Assumptions!E$51)</f>
        <v>3819.24</v>
      </c>
      <c r="F17" s="30" t="n">
        <f aca="false">E17*(1+Assumptions!F$51)</f>
        <v>3933.8172</v>
      </c>
      <c r="G17" s="30" t="n">
        <f aca="false">F17*(1+Assumptions!G$51)</f>
        <v>4051.831716</v>
      </c>
      <c r="H17" s="11" t="s">
        <v>464</v>
      </c>
    </row>
    <row r="18" customFormat="false" ht="25.5" hidden="false" customHeight="true" outlineLevel="0" collapsed="false">
      <c r="A18" s="9" t="s">
        <v>465</v>
      </c>
      <c r="B18" s="42" t="n">
        <v>14846.11</v>
      </c>
      <c r="C18" s="30" t="n">
        <f aca="false">B18</f>
        <v>14846.11</v>
      </c>
      <c r="D18" s="30" t="n">
        <f aca="false">C18*(1+Assumptions!D$51)</f>
        <v>15291.4933</v>
      </c>
      <c r="E18" s="30" t="n">
        <f aca="false">D18*(1+Assumptions!E$51)</f>
        <v>15750.238099</v>
      </c>
      <c r="F18" s="30" t="n">
        <f aca="false">E18*(1+Assumptions!F$51)</f>
        <v>16222.74524197</v>
      </c>
      <c r="G18" s="30" t="n">
        <f aca="false">F18*(1+Assumptions!G$51)</f>
        <v>16709.4275992291</v>
      </c>
      <c r="H18" s="11" t="s">
        <v>466</v>
      </c>
    </row>
    <row r="19" customFormat="false" ht="25.5" hidden="false" customHeight="true" outlineLevel="0" collapsed="false">
      <c r="A19" s="9" t="s">
        <v>467</v>
      </c>
      <c r="B19" s="42" t="n">
        <v>10175</v>
      </c>
      <c r="C19" s="30" t="n">
        <f aca="false">B19</f>
        <v>10175</v>
      </c>
      <c r="D19" s="30" t="n">
        <f aca="false">C19*(1+Assumptions!D$51)</f>
        <v>10480.25</v>
      </c>
      <c r="E19" s="30" t="n">
        <f aca="false">D19*(1+Assumptions!E$51)</f>
        <v>10794.6575</v>
      </c>
      <c r="F19" s="30" t="n">
        <f aca="false">E19*(1+Assumptions!F$51)</f>
        <v>11118.497225</v>
      </c>
      <c r="G19" s="30" t="n">
        <f aca="false">F19*(1+Assumptions!G$51)</f>
        <v>11452.05214175</v>
      </c>
      <c r="H19" s="11" t="s">
        <v>468</v>
      </c>
    </row>
    <row r="20" customFormat="false" ht="25.5" hidden="false" customHeight="true" outlineLevel="0" collapsed="false">
      <c r="A20" s="9" t="s">
        <v>469</v>
      </c>
      <c r="B20" s="42" t="n">
        <v>6440.71</v>
      </c>
      <c r="C20" s="30" t="n">
        <f aca="false">B20</f>
        <v>6440.71</v>
      </c>
      <c r="D20" s="30" t="n">
        <f aca="false">C20*(1+Assumptions!D$51)</f>
        <v>6633.9313</v>
      </c>
      <c r="E20" s="30" t="n">
        <f aca="false">D20*(1+Assumptions!E$51)</f>
        <v>6832.949239</v>
      </c>
      <c r="F20" s="30" t="n">
        <f aca="false">E20*(1+Assumptions!F$51)</f>
        <v>7037.93771617</v>
      </c>
      <c r="G20" s="30" t="n">
        <f aca="false">F20*(1+Assumptions!G$51)</f>
        <v>7249.0758476551</v>
      </c>
      <c r="H20" s="11" t="s">
        <v>470</v>
      </c>
    </row>
    <row r="21" customFormat="false" ht="25.5" hidden="false" customHeight="true" outlineLevel="0" collapsed="false">
      <c r="A21" s="9" t="s">
        <v>471</v>
      </c>
      <c r="B21" s="42" t="n">
        <v>7095.96</v>
      </c>
      <c r="C21" s="30" t="n">
        <f aca="false">4000</f>
        <v>4000</v>
      </c>
      <c r="D21" s="30" t="n">
        <f aca="false">C21*(1+Assumptions!D$51)</f>
        <v>4120</v>
      </c>
      <c r="E21" s="30" t="n">
        <f aca="false">D21*(1+Assumptions!E$51)</f>
        <v>4243.6</v>
      </c>
      <c r="F21" s="30" t="n">
        <f aca="false">E21*(1+Assumptions!F$51)</f>
        <v>4370.908</v>
      </c>
      <c r="G21" s="30" t="n">
        <f aca="false">F21*(1+Assumptions!G$51)</f>
        <v>4502.03524</v>
      </c>
      <c r="H21" s="11" t="s">
        <v>472</v>
      </c>
    </row>
    <row r="22" customFormat="false" ht="25.5" hidden="false" customHeight="true" outlineLevel="0" collapsed="false">
      <c r="A22" s="9" t="s">
        <v>473</v>
      </c>
      <c r="B22" s="42" t="n">
        <v>20467.4</v>
      </c>
      <c r="C22" s="30" t="n">
        <f aca="false">15000</f>
        <v>15000</v>
      </c>
      <c r="D22" s="30" t="n">
        <f aca="false">C22*(1+Assumptions!D$51)</f>
        <v>15450</v>
      </c>
      <c r="E22" s="30" t="n">
        <f aca="false">D22*(1+Assumptions!E$51)</f>
        <v>15913.5</v>
      </c>
      <c r="F22" s="30" t="n">
        <f aca="false">E22*(1+Assumptions!F$51)</f>
        <v>16390.905</v>
      </c>
      <c r="G22" s="30" t="n">
        <f aca="false">F22*(1+Assumptions!G$51)</f>
        <v>16882.63215</v>
      </c>
      <c r="H22" s="11" t="s">
        <v>474</v>
      </c>
    </row>
    <row r="23" customFormat="false" ht="25.5" hidden="false" customHeight="true" outlineLevel="0" collapsed="false">
      <c r="A23" s="9" t="s">
        <v>475</v>
      </c>
      <c r="B23" s="42" t="n">
        <v>6160.78</v>
      </c>
      <c r="C23" s="30" t="n">
        <f aca="false">5000</f>
        <v>5000</v>
      </c>
      <c r="D23" s="30" t="n">
        <f aca="false">C23*(1+Assumptions!D$51)</f>
        <v>5150</v>
      </c>
      <c r="E23" s="30" t="n">
        <f aca="false">D23*(1+Assumptions!E$51)</f>
        <v>5304.5</v>
      </c>
      <c r="F23" s="30" t="n">
        <f aca="false">E23*(1+Assumptions!F$51)</f>
        <v>5463.635</v>
      </c>
      <c r="G23" s="30" t="n">
        <f aca="false">F23*(1+Assumptions!G$51)</f>
        <v>5627.54405</v>
      </c>
      <c r="H23" s="11" t="s">
        <v>476</v>
      </c>
    </row>
    <row r="24" customFormat="false" ht="25.5" hidden="false" customHeight="true" outlineLevel="0" collapsed="false">
      <c r="A24" s="9" t="s">
        <v>477</v>
      </c>
      <c r="B24" s="42" t="n">
        <v>209</v>
      </c>
      <c r="C24" s="30" t="n">
        <f aca="false">0</f>
        <v>0</v>
      </c>
      <c r="D24" s="30" t="n">
        <f aca="false">C24*(1+Assumptions!D$51)</f>
        <v>0</v>
      </c>
      <c r="E24" s="30" t="n">
        <f aca="false">D24*(1+Assumptions!E$51)</f>
        <v>0</v>
      </c>
      <c r="F24" s="30" t="n">
        <f aca="false">E24*(1+Assumptions!F$51)</f>
        <v>0</v>
      </c>
      <c r="G24" s="30" t="n">
        <f aca="false">F24*(1+Assumptions!G$51)</f>
        <v>0</v>
      </c>
      <c r="H24" s="11" t="s">
        <v>478</v>
      </c>
    </row>
    <row r="25" customFormat="false" ht="15" hidden="false" customHeight="false" outlineLevel="0" collapsed="false">
      <c r="A25" s="34" t="s">
        <v>479</v>
      </c>
      <c r="B25" s="37" t="n">
        <f aca="false">SUM(B12:B24)</f>
        <v>193597.53</v>
      </c>
      <c r="C25" s="37" t="n">
        <f aca="false">SUM(C12:C24)</f>
        <v>238318.9</v>
      </c>
      <c r="D25" s="37" t="n">
        <f aca="false">SUM(D12:D24)</f>
        <v>268814.3836</v>
      </c>
      <c r="E25" s="37" t="n">
        <f aca="false">SUM(E12:E24)</f>
        <v>279458.318458</v>
      </c>
      <c r="F25" s="37" t="n">
        <f aca="false">SUM(F12:F24)</f>
        <v>288669.49201174</v>
      </c>
      <c r="G25" s="37" t="n">
        <f aca="false">SUM(G12:G24)</f>
        <v>298190.097732092</v>
      </c>
    </row>
    <row r="26" customFormat="false" ht="15" hidden="false" customHeight="false" outlineLevel="0" collapsed="false">
      <c r="A26" s="9" t="s">
        <v>480</v>
      </c>
      <c r="B26" s="30" t="n">
        <f aca="false">B25/Assumptions!$B$17</f>
        <v>1640.65703389831</v>
      </c>
      <c r="C26" s="30" t="n">
        <f aca="false">C25/Assumptions!$B$17</f>
        <v>2019.65169491525</v>
      </c>
      <c r="D26" s="30" t="n">
        <f aca="false">D25/Assumptions!$B$17</f>
        <v>2278.08799661017</v>
      </c>
      <c r="E26" s="30" t="n">
        <f aca="false">E25/Assumptions!$B$17</f>
        <v>2368.29083438983</v>
      </c>
      <c r="F26" s="30" t="n">
        <f aca="false">F25/Assumptions!$B$17</f>
        <v>2446.35162721814</v>
      </c>
      <c r="G26" s="30" t="n">
        <f aca="false">G25/Assumptions!$B$17</f>
        <v>2527.03472654315</v>
      </c>
    </row>
    <row r="27" customFormat="false" ht="15" hidden="false" customHeight="false" outlineLevel="0" collapsed="false">
      <c r="A27" s="9" t="s">
        <v>481</v>
      </c>
      <c r="C27" s="39" t="n">
        <f aca="false">C25/'Annual Model'!C32</f>
        <v>0.123268086738353</v>
      </c>
      <c r="D27" s="39" t="n">
        <f aca="false">D25/'Annual Model'!D32</f>
        <v>0.126431784744696</v>
      </c>
      <c r="E27" s="39" t="n">
        <f aca="false">E25/'Annual Model'!E32</f>
        <v>0.120575595188147</v>
      </c>
      <c r="F27" s="39" t="n">
        <f aca="false">F25/'Annual Model'!F32</f>
        <v>0.119904292665082</v>
      </c>
      <c r="G27" s="39" t="n">
        <f aca="false">G25/'Annual Model'!G32</f>
        <v>0.120209600036818</v>
      </c>
    </row>
    <row r="29" customFormat="false" ht="60" hidden="false" customHeight="true" outlineLevel="0" collapsed="false">
      <c r="A29" s="59" t="s">
        <v>482</v>
      </c>
      <c r="B29" s="59"/>
      <c r="C29" s="59"/>
      <c r="D29" s="59"/>
      <c r="E29" s="59"/>
      <c r="F29" s="59"/>
      <c r="G29" s="59"/>
      <c r="H29" s="59"/>
    </row>
  </sheetData>
  <mergeCells count="1">
    <mergeCell ref="A29:H29"/>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3"/>
    <col collapsed="false" customWidth="true" hidden="false" outlineLevel="0" max="3" min="3" style="0" width="12"/>
    <col collapsed="false" customWidth="true" hidden="false" outlineLevel="0" max="8" min="4" style="0" width="11"/>
    <col collapsed="false" customWidth="true" hidden="false" outlineLevel="0" max="9" min="9" style="0" width="64"/>
  </cols>
  <sheetData>
    <row r="1" customFormat="false" ht="17.35" hidden="false" customHeight="false" outlineLevel="0" collapsed="false">
      <c r="A1" s="1" t="s">
        <v>0</v>
      </c>
    </row>
    <row r="2" customFormat="false" ht="15" hidden="false" customHeight="false" outlineLevel="0" collapsed="false">
      <c r="A2" s="2" t="s">
        <v>483</v>
      </c>
    </row>
    <row r="3" customFormat="false" ht="15" hidden="false" customHeight="false" outlineLevel="0" collapsed="false">
      <c r="A3" s="3" t="s">
        <v>2</v>
      </c>
    </row>
    <row r="5" customFormat="false" ht="15" hidden="false" customHeight="false" outlineLevel="0" collapsed="false">
      <c r="A5" s="7" t="s">
        <v>38</v>
      </c>
      <c r="B5" s="25" t="s">
        <v>484</v>
      </c>
      <c r="C5" s="25" t="s">
        <v>381</v>
      </c>
      <c r="D5" s="25" t="s">
        <v>485</v>
      </c>
      <c r="E5" s="25" t="s">
        <v>486</v>
      </c>
      <c r="F5" s="25" t="s">
        <v>487</v>
      </c>
      <c r="G5" s="25" t="s">
        <v>488</v>
      </c>
      <c r="H5" s="25" t="s">
        <v>489</v>
      </c>
      <c r="I5" s="7" t="s">
        <v>490</v>
      </c>
    </row>
    <row r="6" customFormat="false" ht="39.75" hidden="false" customHeight="true" outlineLevel="0" collapsed="false">
      <c r="A6" s="9" t="s">
        <v>491</v>
      </c>
      <c r="B6" s="42" t="n">
        <v>360000</v>
      </c>
      <c r="C6" s="30" t="n">
        <f aca="false">B6/Assumptions!$B$17</f>
        <v>3050.84745762712</v>
      </c>
      <c r="D6" s="14" t="n">
        <v>0</v>
      </c>
      <c r="E6" s="14" t="n">
        <v>0.4</v>
      </c>
      <c r="F6" s="14" t="n">
        <v>0.4</v>
      </c>
      <c r="G6" s="14" t="n">
        <v>0.2</v>
      </c>
      <c r="H6" s="14" t="n">
        <v>0</v>
      </c>
      <c r="I6" s="11" t="s">
        <v>492</v>
      </c>
    </row>
    <row r="7" customFormat="false" ht="39.75" hidden="false" customHeight="true" outlineLevel="0" collapsed="false">
      <c r="A7" s="9" t="s">
        <v>493</v>
      </c>
      <c r="B7" s="42" t="n">
        <v>150000</v>
      </c>
      <c r="C7" s="30" t="n">
        <f aca="false">B7/Assumptions!$B$17</f>
        <v>1271.18644067797</v>
      </c>
      <c r="D7" s="14" t="n">
        <v>1</v>
      </c>
      <c r="E7" s="14" t="n">
        <v>0</v>
      </c>
      <c r="F7" s="14" t="n">
        <v>0</v>
      </c>
      <c r="G7" s="14" t="n">
        <v>0</v>
      </c>
      <c r="H7" s="14" t="n">
        <v>0</v>
      </c>
      <c r="I7" s="11" t="s">
        <v>494</v>
      </c>
    </row>
    <row r="8" customFormat="false" ht="39.75" hidden="false" customHeight="true" outlineLevel="0" collapsed="false">
      <c r="A8" s="9" t="s">
        <v>495</v>
      </c>
      <c r="B8" s="42" t="n">
        <v>40000</v>
      </c>
      <c r="C8" s="30" t="n">
        <f aca="false">B8/Assumptions!$B$17</f>
        <v>338.983050847458</v>
      </c>
      <c r="D8" s="14" t="n">
        <v>1</v>
      </c>
      <c r="E8" s="14" t="n">
        <v>0</v>
      </c>
      <c r="F8" s="14" t="n">
        <v>0</v>
      </c>
      <c r="G8" s="14" t="n">
        <v>0</v>
      </c>
      <c r="H8" s="14" t="n">
        <v>0</v>
      </c>
      <c r="I8" s="11" t="s">
        <v>496</v>
      </c>
    </row>
    <row r="9" customFormat="false" ht="39.75" hidden="false" customHeight="true" outlineLevel="0" collapsed="false">
      <c r="A9" s="9" t="s">
        <v>497</v>
      </c>
      <c r="B9" s="42" t="n">
        <v>150000</v>
      </c>
      <c r="C9" s="30" t="n">
        <f aca="false">B9/Assumptions!$B$17</f>
        <v>1271.18644067797</v>
      </c>
      <c r="D9" s="14" t="n">
        <v>0.34</v>
      </c>
      <c r="E9" s="14" t="n">
        <v>0.33</v>
      </c>
      <c r="F9" s="14" t="n">
        <v>0.33</v>
      </c>
      <c r="G9" s="14" t="n">
        <v>0</v>
      </c>
      <c r="H9" s="14" t="n">
        <v>0</v>
      </c>
      <c r="I9" s="11" t="s">
        <v>498</v>
      </c>
    </row>
    <row r="10" customFormat="false" ht="39.75" hidden="false" customHeight="true" outlineLevel="0" collapsed="false">
      <c r="A10" s="9" t="s">
        <v>499</v>
      </c>
      <c r="B10" s="42" t="n">
        <v>60000</v>
      </c>
      <c r="C10" s="30" t="n">
        <f aca="false">B10/Assumptions!$B$17</f>
        <v>508.474576271186</v>
      </c>
      <c r="D10" s="14" t="n">
        <v>0.5</v>
      </c>
      <c r="E10" s="14" t="n">
        <v>0.5</v>
      </c>
      <c r="F10" s="14" t="n">
        <v>0</v>
      </c>
      <c r="G10" s="14" t="n">
        <v>0</v>
      </c>
      <c r="H10" s="14" t="n">
        <v>0</v>
      </c>
      <c r="I10" s="11" t="s">
        <v>500</v>
      </c>
    </row>
    <row r="11" customFormat="false" ht="39.75" hidden="false" customHeight="true" outlineLevel="0" collapsed="false">
      <c r="A11" s="9" t="s">
        <v>501</v>
      </c>
      <c r="B11" s="42" t="n">
        <v>75000</v>
      </c>
      <c r="C11" s="30" t="n">
        <f aca="false">B11/Assumptions!$B$17</f>
        <v>635.593220338983</v>
      </c>
      <c r="D11" s="14" t="n">
        <v>1</v>
      </c>
      <c r="E11" s="14" t="n">
        <v>0</v>
      </c>
      <c r="F11" s="14" t="n">
        <v>0</v>
      </c>
      <c r="G11" s="14" t="n">
        <v>0</v>
      </c>
      <c r="H11" s="14" t="n">
        <v>0</v>
      </c>
      <c r="I11" s="11" t="s">
        <v>502</v>
      </c>
    </row>
    <row r="12" customFormat="false" ht="39.75" hidden="false" customHeight="true" outlineLevel="0" collapsed="false">
      <c r="A12" s="9" t="s">
        <v>503</v>
      </c>
      <c r="B12" s="42" t="n">
        <v>50000</v>
      </c>
      <c r="C12" s="30" t="n">
        <f aca="false">B12/Assumptions!$B$17</f>
        <v>423.728813559322</v>
      </c>
      <c r="D12" s="14" t="n">
        <v>1</v>
      </c>
      <c r="E12" s="14" t="n">
        <v>0</v>
      </c>
      <c r="F12" s="14" t="n">
        <v>0</v>
      </c>
      <c r="G12" s="14" t="n">
        <v>0</v>
      </c>
      <c r="H12" s="14" t="n">
        <v>0</v>
      </c>
      <c r="I12" s="11" t="s">
        <v>504</v>
      </c>
    </row>
    <row r="13" customFormat="false" ht="39.75" hidden="false" customHeight="true" outlineLevel="0" collapsed="false">
      <c r="A13" s="9" t="s">
        <v>505</v>
      </c>
      <c r="B13" s="42" t="n">
        <v>100000</v>
      </c>
      <c r="C13" s="30" t="n">
        <f aca="false">B13/Assumptions!$B$17</f>
        <v>847.457627118644</v>
      </c>
      <c r="D13" s="14" t="n">
        <v>0.5</v>
      </c>
      <c r="E13" s="14" t="n">
        <v>0.5</v>
      </c>
      <c r="F13" s="14" t="n">
        <v>0</v>
      </c>
      <c r="G13" s="14" t="n">
        <v>0</v>
      </c>
      <c r="H13" s="14" t="n">
        <v>0</v>
      </c>
      <c r="I13" s="11" t="s">
        <v>506</v>
      </c>
    </row>
    <row r="14" customFormat="false" ht="15" hidden="false" customHeight="false" outlineLevel="0" collapsed="false">
      <c r="A14" s="34" t="s">
        <v>507</v>
      </c>
      <c r="B14" s="37" t="n">
        <f aca="false">SUM(B6:B13)</f>
        <v>985000</v>
      </c>
      <c r="C14" s="37" t="n">
        <f aca="false">B14/Assumptions!$B$17</f>
        <v>8347.45762711864</v>
      </c>
      <c r="D14" s="37" t="n">
        <f aca="false">SUMPRODUCT($B$6:$B$13,D6:D13)</f>
        <v>446000</v>
      </c>
      <c r="E14" s="37" t="n">
        <f aca="false">SUMPRODUCT($B$6:$B$13,E6:E13)</f>
        <v>273500</v>
      </c>
      <c r="F14" s="37" t="n">
        <f aca="false">SUMPRODUCT($B$6:$B$13,F6:F13)</f>
        <v>193500</v>
      </c>
      <c r="G14" s="37" t="n">
        <f aca="false">SUMPRODUCT($B$6:$B$13,G6:G13)</f>
        <v>72000</v>
      </c>
      <c r="H14" s="37" t="n">
        <f aca="false">SUMPRODUCT($B$6:$B$13,H6:H13)</f>
        <v>0</v>
      </c>
    </row>
    <row r="15" customFormat="false" ht="15" hidden="false" customHeight="false" outlineLevel="0" collapsed="false">
      <c r="A15" s="3" t="s">
        <v>508</v>
      </c>
      <c r="B15" s="39" t="n">
        <f aca="false">SUM(D14:H14)/B14</f>
        <v>1</v>
      </c>
    </row>
    <row r="17" customFormat="false" ht="60" hidden="false" customHeight="true" outlineLevel="0" collapsed="false">
      <c r="A17" s="59" t="s">
        <v>509</v>
      </c>
      <c r="B17" s="59"/>
      <c r="C17" s="59"/>
      <c r="D17" s="59"/>
      <c r="E17" s="59"/>
      <c r="F17" s="59"/>
      <c r="G17" s="59"/>
      <c r="H17" s="59"/>
      <c r="I17" s="59"/>
    </row>
  </sheetData>
  <mergeCells count="1">
    <mergeCell ref="A17:I17"/>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8"/>
    <col collapsed="false" customWidth="true" hidden="false" outlineLevel="0" max="4" min="4" style="0" width="11"/>
    <col collapsed="false" customWidth="true" hidden="false" outlineLevel="0" max="5" min="5" style="0" width="12"/>
    <col collapsed="false" customWidth="true" hidden="false" outlineLevel="0" max="6" min="6" style="0" width="15"/>
    <col collapsed="false" customWidth="true" hidden="false" outlineLevel="0" max="7" min="7" style="0" width="10"/>
    <col collapsed="false" customWidth="true" hidden="false" outlineLevel="0" max="9" min="8" style="0" width="13"/>
    <col collapsed="false" customWidth="true" hidden="false" outlineLevel="0" max="12" min="10" style="0" width="12"/>
    <col collapsed="false" customWidth="true" hidden="false" outlineLevel="0" max="13" min="13" style="0" width="13"/>
  </cols>
  <sheetData>
    <row r="1" customFormat="false" ht="17.35" hidden="false" customHeight="false" outlineLevel="0" collapsed="false">
      <c r="A1" s="1" t="s">
        <v>0</v>
      </c>
    </row>
    <row r="2" customFormat="false" ht="15" hidden="false" customHeight="false" outlineLevel="0" collapsed="false">
      <c r="A2" s="2" t="s">
        <v>510</v>
      </c>
    </row>
    <row r="3" customFormat="false" ht="15" hidden="false" customHeight="false" outlineLevel="0" collapsed="false">
      <c r="A3" s="3" t="s">
        <v>2</v>
      </c>
    </row>
    <row r="5" customFormat="false" ht="31.5" hidden="false" customHeight="true" outlineLevel="0" collapsed="false">
      <c r="A5" s="28" t="s">
        <v>511</v>
      </c>
      <c r="B5" s="28" t="s">
        <v>512</v>
      </c>
      <c r="C5" s="28" t="s">
        <v>513</v>
      </c>
      <c r="D5" s="28" t="s">
        <v>514</v>
      </c>
      <c r="E5" s="28" t="s">
        <v>515</v>
      </c>
      <c r="F5" s="28" t="s">
        <v>516</v>
      </c>
      <c r="G5" s="28" t="s">
        <v>517</v>
      </c>
      <c r="H5" s="28" t="s">
        <v>518</v>
      </c>
      <c r="I5" s="28" t="s">
        <v>519</v>
      </c>
      <c r="J5" s="28" t="s">
        <v>520</v>
      </c>
      <c r="K5" s="28" t="s">
        <v>521</v>
      </c>
      <c r="L5" s="28" t="s">
        <v>522</v>
      </c>
      <c r="M5" s="28" t="s">
        <v>523</v>
      </c>
    </row>
    <row r="6" customFormat="false" ht="15" hidden="false" customHeight="false" outlineLevel="0" collapsed="false">
      <c r="A6" s="19" t="n">
        <v>1</v>
      </c>
      <c r="B6" s="31" t="n">
        <f aca="false">EDATE(Assumptions!$B$10,A6-1)</f>
        <v>46235</v>
      </c>
      <c r="C6" s="19" t="n">
        <f aca="false">ROUNDUP(A6/12,0)</f>
        <v>1</v>
      </c>
      <c r="D6" s="19" t="n">
        <f aca="false">IF(A6&lt;Assumptions!$B$31,0,MAX(0,MIN(Assumptions!$B$32,Assumptions!$B$17-0)))</f>
        <v>0</v>
      </c>
      <c r="E6" s="19" t="n">
        <f aca="false">0+D6</f>
        <v>0</v>
      </c>
      <c r="F6" s="19" t="n">
        <f aca="false">0</f>
        <v>0</v>
      </c>
      <c r="G6" s="19" t="n">
        <f aca="false">Assumptions!$B$17-F6</f>
        <v>118</v>
      </c>
      <c r="H6" s="60" t="n">
        <f aca="false">D6*Assumptions!$B$27/Assumptions!$B$17</f>
        <v>0</v>
      </c>
      <c r="I6" s="60" t="n">
        <f aca="false">D6*Assumptions!$B$28/Assumptions!$B$17</f>
        <v>0</v>
      </c>
      <c r="J6" s="30" t="n">
        <f aca="false">D6*Assumptions!$B$33</f>
        <v>0</v>
      </c>
      <c r="K6" s="30" t="n">
        <f aca="false">I6*Assumptions!$B$34</f>
        <v>0</v>
      </c>
      <c r="L6" s="30" t="n">
        <f aca="false">J6+K6</f>
        <v>0</v>
      </c>
      <c r="M6" s="61" t="n">
        <f aca="false">D6*Assumptions!$B$41/30/Assumptions!$B$17</f>
        <v>0</v>
      </c>
    </row>
    <row r="7" customFormat="false" ht="15" hidden="false" customHeight="false" outlineLevel="0" collapsed="false">
      <c r="A7" s="19" t="n">
        <v>2</v>
      </c>
      <c r="B7" s="31" t="n">
        <f aca="false">EDATE(Assumptions!$B$10,A7-1)</f>
        <v>46266</v>
      </c>
      <c r="C7" s="19" t="n">
        <f aca="false">ROUNDUP(A7/12,0)</f>
        <v>1</v>
      </c>
      <c r="D7" s="19" t="n">
        <f aca="false">IF(A7&lt;Assumptions!$B$31,0,MAX(0,MIN(Assumptions!$B$32,Assumptions!$B$17-E6)))</f>
        <v>0</v>
      </c>
      <c r="E7" s="19" t="n">
        <f aca="false">E6+D7</f>
        <v>0</v>
      </c>
      <c r="F7" s="19" t="n">
        <f aca="false">E6</f>
        <v>0</v>
      </c>
      <c r="G7" s="19" t="n">
        <f aca="false">Assumptions!$B$17-F7</f>
        <v>118</v>
      </c>
      <c r="H7" s="60" t="n">
        <f aca="false">D7*Assumptions!$B$27/Assumptions!$B$17</f>
        <v>0</v>
      </c>
      <c r="I7" s="60" t="n">
        <f aca="false">D7*Assumptions!$B$28/Assumptions!$B$17</f>
        <v>0</v>
      </c>
      <c r="J7" s="30" t="n">
        <f aca="false">D7*Assumptions!$B$33</f>
        <v>0</v>
      </c>
      <c r="K7" s="30" t="n">
        <f aca="false">I7*Assumptions!$B$34</f>
        <v>0</v>
      </c>
      <c r="L7" s="30" t="n">
        <f aca="false">J7+K7</f>
        <v>0</v>
      </c>
      <c r="M7" s="61" t="n">
        <f aca="false">D7*Assumptions!$B$41/30/Assumptions!$B$17</f>
        <v>0</v>
      </c>
    </row>
    <row r="8" customFormat="false" ht="15" hidden="false" customHeight="false" outlineLevel="0" collapsed="false">
      <c r="A8" s="19" t="n">
        <v>3</v>
      </c>
      <c r="B8" s="31" t="n">
        <f aca="false">EDATE(Assumptions!$B$10,A8-1)</f>
        <v>46296</v>
      </c>
      <c r="C8" s="19" t="n">
        <f aca="false">ROUNDUP(A8/12,0)</f>
        <v>1</v>
      </c>
      <c r="D8" s="19" t="n">
        <f aca="false">IF(A8&lt;Assumptions!$B$31,0,MAX(0,MIN(Assumptions!$B$32,Assumptions!$B$17-E7)))</f>
        <v>5</v>
      </c>
      <c r="E8" s="19" t="n">
        <f aca="false">E7+D8</f>
        <v>5</v>
      </c>
      <c r="F8" s="19" t="n">
        <f aca="false">E7</f>
        <v>0</v>
      </c>
      <c r="G8" s="19" t="n">
        <f aca="false">Assumptions!$B$17-F8</f>
        <v>118</v>
      </c>
      <c r="H8" s="60" t="n">
        <f aca="false">D8*Assumptions!$B$27/Assumptions!$B$17</f>
        <v>2.24576271186441</v>
      </c>
      <c r="I8" s="60" t="n">
        <f aca="false">D8*Assumptions!$B$28/Assumptions!$B$17</f>
        <v>2.75423728813559</v>
      </c>
      <c r="J8" s="30" t="n">
        <f aca="false">D8*Assumptions!$B$33</f>
        <v>65000</v>
      </c>
      <c r="K8" s="30" t="n">
        <f aca="false">I8*Assumptions!$B$34</f>
        <v>13771.186440678</v>
      </c>
      <c r="L8" s="30" t="n">
        <f aca="false">J8+K8</f>
        <v>78771.186440678</v>
      </c>
      <c r="M8" s="61" t="n">
        <f aca="false">D8*Assumptions!$B$41/30/Assumptions!$B$17</f>
        <v>0.019774011299435</v>
      </c>
    </row>
    <row r="9" customFormat="false" ht="15" hidden="false" customHeight="false" outlineLevel="0" collapsed="false">
      <c r="A9" s="19" t="n">
        <v>4</v>
      </c>
      <c r="B9" s="31" t="n">
        <f aca="false">EDATE(Assumptions!$B$10,A9-1)</f>
        <v>46327</v>
      </c>
      <c r="C9" s="19" t="n">
        <f aca="false">ROUNDUP(A9/12,0)</f>
        <v>1</v>
      </c>
      <c r="D9" s="19" t="n">
        <f aca="false">IF(A9&lt;Assumptions!$B$31,0,MAX(0,MIN(Assumptions!$B$32,Assumptions!$B$17-E8)))</f>
        <v>5</v>
      </c>
      <c r="E9" s="19" t="n">
        <f aca="false">E8+D9</f>
        <v>10</v>
      </c>
      <c r="F9" s="19" t="n">
        <f aca="false">E8</f>
        <v>5</v>
      </c>
      <c r="G9" s="19" t="n">
        <f aca="false">Assumptions!$B$17-F9</f>
        <v>113</v>
      </c>
      <c r="H9" s="60" t="n">
        <f aca="false">D9*Assumptions!$B$27/Assumptions!$B$17</f>
        <v>2.24576271186441</v>
      </c>
      <c r="I9" s="60" t="n">
        <f aca="false">D9*Assumptions!$B$28/Assumptions!$B$17</f>
        <v>2.75423728813559</v>
      </c>
      <c r="J9" s="30" t="n">
        <f aca="false">D9*Assumptions!$B$33</f>
        <v>65000</v>
      </c>
      <c r="K9" s="30" t="n">
        <f aca="false">I9*Assumptions!$B$34</f>
        <v>13771.186440678</v>
      </c>
      <c r="L9" s="30" t="n">
        <f aca="false">J9+K9</f>
        <v>78771.186440678</v>
      </c>
      <c r="M9" s="61" t="n">
        <f aca="false">D9*Assumptions!$B$41/30/Assumptions!$B$17</f>
        <v>0.019774011299435</v>
      </c>
    </row>
    <row r="10" customFormat="false" ht="15" hidden="false" customHeight="false" outlineLevel="0" collapsed="false">
      <c r="A10" s="19" t="n">
        <v>5</v>
      </c>
      <c r="B10" s="31" t="n">
        <f aca="false">EDATE(Assumptions!$B$10,A10-1)</f>
        <v>46357</v>
      </c>
      <c r="C10" s="19" t="n">
        <f aca="false">ROUNDUP(A10/12,0)</f>
        <v>1</v>
      </c>
      <c r="D10" s="19" t="n">
        <f aca="false">IF(A10&lt;Assumptions!$B$31,0,MAX(0,MIN(Assumptions!$B$32,Assumptions!$B$17-E9)))</f>
        <v>5</v>
      </c>
      <c r="E10" s="19" t="n">
        <f aca="false">E9+D10</f>
        <v>15</v>
      </c>
      <c r="F10" s="19" t="n">
        <f aca="false">E9</f>
        <v>10</v>
      </c>
      <c r="G10" s="19" t="n">
        <f aca="false">Assumptions!$B$17-F10</f>
        <v>108</v>
      </c>
      <c r="H10" s="60" t="n">
        <f aca="false">D10*Assumptions!$B$27/Assumptions!$B$17</f>
        <v>2.24576271186441</v>
      </c>
      <c r="I10" s="60" t="n">
        <f aca="false">D10*Assumptions!$B$28/Assumptions!$B$17</f>
        <v>2.75423728813559</v>
      </c>
      <c r="J10" s="30" t="n">
        <f aca="false">D10*Assumptions!$B$33</f>
        <v>65000</v>
      </c>
      <c r="K10" s="30" t="n">
        <f aca="false">I10*Assumptions!$B$34</f>
        <v>13771.186440678</v>
      </c>
      <c r="L10" s="30" t="n">
        <f aca="false">J10+K10</f>
        <v>78771.186440678</v>
      </c>
      <c r="M10" s="61" t="n">
        <f aca="false">D10*Assumptions!$B$41/30/Assumptions!$B$17</f>
        <v>0.019774011299435</v>
      </c>
    </row>
    <row r="11" customFormat="false" ht="15" hidden="false" customHeight="false" outlineLevel="0" collapsed="false">
      <c r="A11" s="19" t="n">
        <v>6</v>
      </c>
      <c r="B11" s="31" t="n">
        <f aca="false">EDATE(Assumptions!$B$10,A11-1)</f>
        <v>46388</v>
      </c>
      <c r="C11" s="19" t="n">
        <f aca="false">ROUNDUP(A11/12,0)</f>
        <v>1</v>
      </c>
      <c r="D11" s="19" t="n">
        <f aca="false">IF(A11&lt;Assumptions!$B$31,0,MAX(0,MIN(Assumptions!$B$32,Assumptions!$B$17-E10)))</f>
        <v>5</v>
      </c>
      <c r="E11" s="19" t="n">
        <f aca="false">E10+D11</f>
        <v>20</v>
      </c>
      <c r="F11" s="19" t="n">
        <f aca="false">E10</f>
        <v>15</v>
      </c>
      <c r="G11" s="19" t="n">
        <f aca="false">Assumptions!$B$17-F11</f>
        <v>103</v>
      </c>
      <c r="H11" s="60" t="n">
        <f aca="false">D11*Assumptions!$B$27/Assumptions!$B$17</f>
        <v>2.24576271186441</v>
      </c>
      <c r="I11" s="60" t="n">
        <f aca="false">D11*Assumptions!$B$28/Assumptions!$B$17</f>
        <v>2.75423728813559</v>
      </c>
      <c r="J11" s="30" t="n">
        <f aca="false">D11*Assumptions!$B$33</f>
        <v>65000</v>
      </c>
      <c r="K11" s="30" t="n">
        <f aca="false">I11*Assumptions!$B$34</f>
        <v>13771.186440678</v>
      </c>
      <c r="L11" s="30" t="n">
        <f aca="false">J11+K11</f>
        <v>78771.186440678</v>
      </c>
      <c r="M11" s="61" t="n">
        <f aca="false">D11*Assumptions!$B$41/30/Assumptions!$B$17</f>
        <v>0.019774011299435</v>
      </c>
    </row>
    <row r="12" customFormat="false" ht="15" hidden="false" customHeight="false" outlineLevel="0" collapsed="false">
      <c r="A12" s="19" t="n">
        <v>7</v>
      </c>
      <c r="B12" s="31" t="n">
        <f aca="false">EDATE(Assumptions!$B$10,A12-1)</f>
        <v>46419</v>
      </c>
      <c r="C12" s="19" t="n">
        <f aca="false">ROUNDUP(A12/12,0)</f>
        <v>1</v>
      </c>
      <c r="D12" s="19" t="n">
        <f aca="false">IF(A12&lt;Assumptions!$B$31,0,MAX(0,MIN(Assumptions!$B$32,Assumptions!$B$17-E11)))</f>
        <v>5</v>
      </c>
      <c r="E12" s="19" t="n">
        <f aca="false">E11+D12</f>
        <v>25</v>
      </c>
      <c r="F12" s="19" t="n">
        <f aca="false">E11</f>
        <v>20</v>
      </c>
      <c r="G12" s="19" t="n">
        <f aca="false">Assumptions!$B$17-F12</f>
        <v>98</v>
      </c>
      <c r="H12" s="60" t="n">
        <f aca="false">D12*Assumptions!$B$27/Assumptions!$B$17</f>
        <v>2.24576271186441</v>
      </c>
      <c r="I12" s="60" t="n">
        <f aca="false">D12*Assumptions!$B$28/Assumptions!$B$17</f>
        <v>2.75423728813559</v>
      </c>
      <c r="J12" s="30" t="n">
        <f aca="false">D12*Assumptions!$B$33</f>
        <v>65000</v>
      </c>
      <c r="K12" s="30" t="n">
        <f aca="false">I12*Assumptions!$B$34</f>
        <v>13771.186440678</v>
      </c>
      <c r="L12" s="30" t="n">
        <f aca="false">J12+K12</f>
        <v>78771.186440678</v>
      </c>
      <c r="M12" s="61" t="n">
        <f aca="false">D12*Assumptions!$B$41/30/Assumptions!$B$17</f>
        <v>0.019774011299435</v>
      </c>
    </row>
    <row r="13" customFormat="false" ht="15" hidden="false" customHeight="false" outlineLevel="0" collapsed="false">
      <c r="A13" s="19" t="n">
        <v>8</v>
      </c>
      <c r="B13" s="31" t="n">
        <f aca="false">EDATE(Assumptions!$B$10,A13-1)</f>
        <v>46447</v>
      </c>
      <c r="C13" s="19" t="n">
        <f aca="false">ROUNDUP(A13/12,0)</f>
        <v>1</v>
      </c>
      <c r="D13" s="19" t="n">
        <f aca="false">IF(A13&lt;Assumptions!$B$31,0,MAX(0,MIN(Assumptions!$B$32,Assumptions!$B$17-E12)))</f>
        <v>5</v>
      </c>
      <c r="E13" s="19" t="n">
        <f aca="false">E12+D13</f>
        <v>30</v>
      </c>
      <c r="F13" s="19" t="n">
        <f aca="false">E12</f>
        <v>25</v>
      </c>
      <c r="G13" s="19" t="n">
        <f aca="false">Assumptions!$B$17-F13</f>
        <v>93</v>
      </c>
      <c r="H13" s="60" t="n">
        <f aca="false">D13*Assumptions!$B$27/Assumptions!$B$17</f>
        <v>2.24576271186441</v>
      </c>
      <c r="I13" s="60" t="n">
        <f aca="false">D13*Assumptions!$B$28/Assumptions!$B$17</f>
        <v>2.75423728813559</v>
      </c>
      <c r="J13" s="30" t="n">
        <f aca="false">D13*Assumptions!$B$33</f>
        <v>65000</v>
      </c>
      <c r="K13" s="30" t="n">
        <f aca="false">I13*Assumptions!$B$34</f>
        <v>13771.186440678</v>
      </c>
      <c r="L13" s="30" t="n">
        <f aca="false">J13+K13</f>
        <v>78771.186440678</v>
      </c>
      <c r="M13" s="61" t="n">
        <f aca="false">D13*Assumptions!$B$41/30/Assumptions!$B$17</f>
        <v>0.019774011299435</v>
      </c>
    </row>
    <row r="14" customFormat="false" ht="15" hidden="false" customHeight="false" outlineLevel="0" collapsed="false">
      <c r="A14" s="19" t="n">
        <v>9</v>
      </c>
      <c r="B14" s="31" t="n">
        <f aca="false">EDATE(Assumptions!$B$10,A14-1)</f>
        <v>46478</v>
      </c>
      <c r="C14" s="19" t="n">
        <f aca="false">ROUNDUP(A14/12,0)</f>
        <v>1</v>
      </c>
      <c r="D14" s="19" t="n">
        <f aca="false">IF(A14&lt;Assumptions!$B$31,0,MAX(0,MIN(Assumptions!$B$32,Assumptions!$B$17-E13)))</f>
        <v>5</v>
      </c>
      <c r="E14" s="19" t="n">
        <f aca="false">E13+D14</f>
        <v>35</v>
      </c>
      <c r="F14" s="19" t="n">
        <f aca="false">E13</f>
        <v>30</v>
      </c>
      <c r="G14" s="19" t="n">
        <f aca="false">Assumptions!$B$17-F14</f>
        <v>88</v>
      </c>
      <c r="H14" s="60" t="n">
        <f aca="false">D14*Assumptions!$B$27/Assumptions!$B$17</f>
        <v>2.24576271186441</v>
      </c>
      <c r="I14" s="60" t="n">
        <f aca="false">D14*Assumptions!$B$28/Assumptions!$B$17</f>
        <v>2.75423728813559</v>
      </c>
      <c r="J14" s="30" t="n">
        <f aca="false">D14*Assumptions!$B$33</f>
        <v>65000</v>
      </c>
      <c r="K14" s="30" t="n">
        <f aca="false">I14*Assumptions!$B$34</f>
        <v>13771.186440678</v>
      </c>
      <c r="L14" s="30" t="n">
        <f aca="false">J14+K14</f>
        <v>78771.186440678</v>
      </c>
      <c r="M14" s="61" t="n">
        <f aca="false">D14*Assumptions!$B$41/30/Assumptions!$B$17</f>
        <v>0.019774011299435</v>
      </c>
    </row>
    <row r="15" customFormat="false" ht="15" hidden="false" customHeight="false" outlineLevel="0" collapsed="false">
      <c r="A15" s="19" t="n">
        <v>10</v>
      </c>
      <c r="B15" s="31" t="n">
        <f aca="false">EDATE(Assumptions!$B$10,A15-1)</f>
        <v>46508</v>
      </c>
      <c r="C15" s="19" t="n">
        <f aca="false">ROUNDUP(A15/12,0)</f>
        <v>1</v>
      </c>
      <c r="D15" s="19" t="n">
        <f aca="false">IF(A15&lt;Assumptions!$B$31,0,MAX(0,MIN(Assumptions!$B$32,Assumptions!$B$17-E14)))</f>
        <v>5</v>
      </c>
      <c r="E15" s="19" t="n">
        <f aca="false">E14+D15</f>
        <v>40</v>
      </c>
      <c r="F15" s="19" t="n">
        <f aca="false">E14</f>
        <v>35</v>
      </c>
      <c r="G15" s="19" t="n">
        <f aca="false">Assumptions!$B$17-F15</f>
        <v>83</v>
      </c>
      <c r="H15" s="60" t="n">
        <f aca="false">D15*Assumptions!$B$27/Assumptions!$B$17</f>
        <v>2.24576271186441</v>
      </c>
      <c r="I15" s="60" t="n">
        <f aca="false">D15*Assumptions!$B$28/Assumptions!$B$17</f>
        <v>2.75423728813559</v>
      </c>
      <c r="J15" s="30" t="n">
        <f aca="false">D15*Assumptions!$B$33</f>
        <v>65000</v>
      </c>
      <c r="K15" s="30" t="n">
        <f aca="false">I15*Assumptions!$B$34</f>
        <v>13771.186440678</v>
      </c>
      <c r="L15" s="30" t="n">
        <f aca="false">J15+K15</f>
        <v>78771.186440678</v>
      </c>
      <c r="M15" s="61" t="n">
        <f aca="false">D15*Assumptions!$B$41/30/Assumptions!$B$17</f>
        <v>0.019774011299435</v>
      </c>
    </row>
    <row r="16" customFormat="false" ht="15" hidden="false" customHeight="false" outlineLevel="0" collapsed="false">
      <c r="A16" s="19" t="n">
        <v>11</v>
      </c>
      <c r="B16" s="31" t="n">
        <f aca="false">EDATE(Assumptions!$B$10,A16-1)</f>
        <v>46539</v>
      </c>
      <c r="C16" s="19" t="n">
        <f aca="false">ROUNDUP(A16/12,0)</f>
        <v>1</v>
      </c>
      <c r="D16" s="19" t="n">
        <f aca="false">IF(A16&lt;Assumptions!$B$31,0,MAX(0,MIN(Assumptions!$B$32,Assumptions!$B$17-E15)))</f>
        <v>5</v>
      </c>
      <c r="E16" s="19" t="n">
        <f aca="false">E15+D16</f>
        <v>45</v>
      </c>
      <c r="F16" s="19" t="n">
        <f aca="false">E15</f>
        <v>40</v>
      </c>
      <c r="G16" s="19" t="n">
        <f aca="false">Assumptions!$B$17-F16</f>
        <v>78</v>
      </c>
      <c r="H16" s="60" t="n">
        <f aca="false">D16*Assumptions!$B$27/Assumptions!$B$17</f>
        <v>2.24576271186441</v>
      </c>
      <c r="I16" s="60" t="n">
        <f aca="false">D16*Assumptions!$B$28/Assumptions!$B$17</f>
        <v>2.75423728813559</v>
      </c>
      <c r="J16" s="30" t="n">
        <f aca="false">D16*Assumptions!$B$33</f>
        <v>65000</v>
      </c>
      <c r="K16" s="30" t="n">
        <f aca="false">I16*Assumptions!$B$34</f>
        <v>13771.186440678</v>
      </c>
      <c r="L16" s="30" t="n">
        <f aca="false">J16+K16</f>
        <v>78771.186440678</v>
      </c>
      <c r="M16" s="61" t="n">
        <f aca="false">D16*Assumptions!$B$41/30/Assumptions!$B$17</f>
        <v>0.019774011299435</v>
      </c>
    </row>
    <row r="17" customFormat="false" ht="15" hidden="false" customHeight="false" outlineLevel="0" collapsed="false">
      <c r="A17" s="19" t="n">
        <v>12</v>
      </c>
      <c r="B17" s="31" t="n">
        <f aca="false">EDATE(Assumptions!$B$10,A17-1)</f>
        <v>46569</v>
      </c>
      <c r="C17" s="19" t="n">
        <f aca="false">ROUNDUP(A17/12,0)</f>
        <v>1</v>
      </c>
      <c r="D17" s="19" t="n">
        <f aca="false">IF(A17&lt;Assumptions!$B$31,0,MAX(0,MIN(Assumptions!$B$32,Assumptions!$B$17-E16)))</f>
        <v>5</v>
      </c>
      <c r="E17" s="19" t="n">
        <f aca="false">E16+D17</f>
        <v>50</v>
      </c>
      <c r="F17" s="19" t="n">
        <f aca="false">E16</f>
        <v>45</v>
      </c>
      <c r="G17" s="19" t="n">
        <f aca="false">Assumptions!$B$17-F17</f>
        <v>73</v>
      </c>
      <c r="H17" s="60" t="n">
        <f aca="false">D17*Assumptions!$B$27/Assumptions!$B$17</f>
        <v>2.24576271186441</v>
      </c>
      <c r="I17" s="60" t="n">
        <f aca="false">D17*Assumptions!$B$28/Assumptions!$B$17</f>
        <v>2.75423728813559</v>
      </c>
      <c r="J17" s="30" t="n">
        <f aca="false">D17*Assumptions!$B$33</f>
        <v>65000</v>
      </c>
      <c r="K17" s="30" t="n">
        <f aca="false">I17*Assumptions!$B$34</f>
        <v>13771.186440678</v>
      </c>
      <c r="L17" s="30" t="n">
        <f aca="false">J17+K17</f>
        <v>78771.186440678</v>
      </c>
      <c r="M17" s="61" t="n">
        <f aca="false">D17*Assumptions!$B$41/30/Assumptions!$B$17</f>
        <v>0.019774011299435</v>
      </c>
    </row>
    <row r="18" customFormat="false" ht="15" hidden="false" customHeight="false" outlineLevel="0" collapsed="false">
      <c r="A18" s="19" t="n">
        <v>13</v>
      </c>
      <c r="B18" s="31" t="n">
        <f aca="false">EDATE(Assumptions!$B$10,A18-1)</f>
        <v>46600</v>
      </c>
      <c r="C18" s="19" t="n">
        <f aca="false">ROUNDUP(A18/12,0)</f>
        <v>2</v>
      </c>
      <c r="D18" s="19" t="n">
        <f aca="false">IF(A18&lt;Assumptions!$B$31,0,MAX(0,MIN(Assumptions!$B$32,Assumptions!$B$17-E17)))</f>
        <v>5</v>
      </c>
      <c r="E18" s="19" t="n">
        <f aca="false">E17+D18</f>
        <v>55</v>
      </c>
      <c r="F18" s="19" t="n">
        <f aca="false">E17</f>
        <v>50</v>
      </c>
      <c r="G18" s="19" t="n">
        <f aca="false">Assumptions!$B$17-F18</f>
        <v>68</v>
      </c>
      <c r="H18" s="60" t="n">
        <f aca="false">D18*Assumptions!$B$27/Assumptions!$B$17</f>
        <v>2.24576271186441</v>
      </c>
      <c r="I18" s="60" t="n">
        <f aca="false">D18*Assumptions!$B$28/Assumptions!$B$17</f>
        <v>2.75423728813559</v>
      </c>
      <c r="J18" s="30" t="n">
        <f aca="false">D18*Assumptions!$B$33</f>
        <v>65000</v>
      </c>
      <c r="K18" s="30" t="n">
        <f aca="false">I18*Assumptions!$B$34</f>
        <v>13771.186440678</v>
      </c>
      <c r="L18" s="30" t="n">
        <f aca="false">J18+K18</f>
        <v>78771.186440678</v>
      </c>
      <c r="M18" s="61" t="n">
        <f aca="false">D18*Assumptions!$B$41/30/Assumptions!$B$17</f>
        <v>0.019774011299435</v>
      </c>
    </row>
    <row r="19" customFormat="false" ht="15" hidden="false" customHeight="false" outlineLevel="0" collapsed="false">
      <c r="A19" s="19" t="n">
        <v>14</v>
      </c>
      <c r="B19" s="31" t="n">
        <f aca="false">EDATE(Assumptions!$B$10,A19-1)</f>
        <v>46631</v>
      </c>
      <c r="C19" s="19" t="n">
        <f aca="false">ROUNDUP(A19/12,0)</f>
        <v>2</v>
      </c>
      <c r="D19" s="19" t="n">
        <f aca="false">IF(A19&lt;Assumptions!$B$31,0,MAX(0,MIN(Assumptions!$B$32,Assumptions!$B$17-E18)))</f>
        <v>5</v>
      </c>
      <c r="E19" s="19" t="n">
        <f aca="false">E18+D19</f>
        <v>60</v>
      </c>
      <c r="F19" s="19" t="n">
        <f aca="false">E18</f>
        <v>55</v>
      </c>
      <c r="G19" s="19" t="n">
        <f aca="false">Assumptions!$B$17-F19</f>
        <v>63</v>
      </c>
      <c r="H19" s="60" t="n">
        <f aca="false">D19*Assumptions!$B$27/Assumptions!$B$17</f>
        <v>2.24576271186441</v>
      </c>
      <c r="I19" s="60" t="n">
        <f aca="false">D19*Assumptions!$B$28/Assumptions!$B$17</f>
        <v>2.75423728813559</v>
      </c>
      <c r="J19" s="30" t="n">
        <f aca="false">D19*Assumptions!$B$33</f>
        <v>65000</v>
      </c>
      <c r="K19" s="30" t="n">
        <f aca="false">I19*Assumptions!$B$34</f>
        <v>13771.186440678</v>
      </c>
      <c r="L19" s="30" t="n">
        <f aca="false">J19+K19</f>
        <v>78771.186440678</v>
      </c>
      <c r="M19" s="61" t="n">
        <f aca="false">D19*Assumptions!$B$41/30/Assumptions!$B$17</f>
        <v>0.019774011299435</v>
      </c>
    </row>
    <row r="20" customFormat="false" ht="15" hidden="false" customHeight="false" outlineLevel="0" collapsed="false">
      <c r="A20" s="19" t="n">
        <v>15</v>
      </c>
      <c r="B20" s="31" t="n">
        <f aca="false">EDATE(Assumptions!$B$10,A20-1)</f>
        <v>46661</v>
      </c>
      <c r="C20" s="19" t="n">
        <f aca="false">ROUNDUP(A20/12,0)</f>
        <v>2</v>
      </c>
      <c r="D20" s="19" t="n">
        <f aca="false">IF(A20&lt;Assumptions!$B$31,0,MAX(0,MIN(Assumptions!$B$32,Assumptions!$B$17-E19)))</f>
        <v>5</v>
      </c>
      <c r="E20" s="19" t="n">
        <f aca="false">E19+D20</f>
        <v>65</v>
      </c>
      <c r="F20" s="19" t="n">
        <f aca="false">E19</f>
        <v>60</v>
      </c>
      <c r="G20" s="19" t="n">
        <f aca="false">Assumptions!$B$17-F20</f>
        <v>58</v>
      </c>
      <c r="H20" s="60" t="n">
        <f aca="false">D20*Assumptions!$B$27/Assumptions!$B$17</f>
        <v>2.24576271186441</v>
      </c>
      <c r="I20" s="60" t="n">
        <f aca="false">D20*Assumptions!$B$28/Assumptions!$B$17</f>
        <v>2.75423728813559</v>
      </c>
      <c r="J20" s="30" t="n">
        <f aca="false">D20*Assumptions!$B$33</f>
        <v>65000</v>
      </c>
      <c r="K20" s="30" t="n">
        <f aca="false">I20*Assumptions!$B$34</f>
        <v>13771.186440678</v>
      </c>
      <c r="L20" s="30" t="n">
        <f aca="false">J20+K20</f>
        <v>78771.186440678</v>
      </c>
      <c r="M20" s="61" t="n">
        <f aca="false">D20*Assumptions!$B$41/30/Assumptions!$B$17</f>
        <v>0.019774011299435</v>
      </c>
    </row>
    <row r="21" customFormat="false" ht="15" hidden="false" customHeight="false" outlineLevel="0" collapsed="false">
      <c r="A21" s="19" t="n">
        <v>16</v>
      </c>
      <c r="B21" s="31" t="n">
        <f aca="false">EDATE(Assumptions!$B$10,A21-1)</f>
        <v>46692</v>
      </c>
      <c r="C21" s="19" t="n">
        <f aca="false">ROUNDUP(A21/12,0)</f>
        <v>2</v>
      </c>
      <c r="D21" s="19" t="n">
        <f aca="false">IF(A21&lt;Assumptions!$B$31,0,MAX(0,MIN(Assumptions!$B$32,Assumptions!$B$17-E20)))</f>
        <v>5</v>
      </c>
      <c r="E21" s="19" t="n">
        <f aca="false">E20+D21</f>
        <v>70</v>
      </c>
      <c r="F21" s="19" t="n">
        <f aca="false">E20</f>
        <v>65</v>
      </c>
      <c r="G21" s="19" t="n">
        <f aca="false">Assumptions!$B$17-F21</f>
        <v>53</v>
      </c>
      <c r="H21" s="60" t="n">
        <f aca="false">D21*Assumptions!$B$27/Assumptions!$B$17</f>
        <v>2.24576271186441</v>
      </c>
      <c r="I21" s="60" t="n">
        <f aca="false">D21*Assumptions!$B$28/Assumptions!$B$17</f>
        <v>2.75423728813559</v>
      </c>
      <c r="J21" s="30" t="n">
        <f aca="false">D21*Assumptions!$B$33</f>
        <v>65000</v>
      </c>
      <c r="K21" s="30" t="n">
        <f aca="false">I21*Assumptions!$B$34</f>
        <v>13771.186440678</v>
      </c>
      <c r="L21" s="30" t="n">
        <f aca="false">J21+K21</f>
        <v>78771.186440678</v>
      </c>
      <c r="M21" s="61" t="n">
        <f aca="false">D21*Assumptions!$B$41/30/Assumptions!$B$17</f>
        <v>0.019774011299435</v>
      </c>
    </row>
    <row r="22" customFormat="false" ht="15" hidden="false" customHeight="false" outlineLevel="0" collapsed="false">
      <c r="A22" s="19" t="n">
        <v>17</v>
      </c>
      <c r="B22" s="31" t="n">
        <f aca="false">EDATE(Assumptions!$B$10,A22-1)</f>
        <v>46722</v>
      </c>
      <c r="C22" s="19" t="n">
        <f aca="false">ROUNDUP(A22/12,0)</f>
        <v>2</v>
      </c>
      <c r="D22" s="19" t="n">
        <f aca="false">IF(A22&lt;Assumptions!$B$31,0,MAX(0,MIN(Assumptions!$B$32,Assumptions!$B$17-E21)))</f>
        <v>5</v>
      </c>
      <c r="E22" s="19" t="n">
        <f aca="false">E21+D22</f>
        <v>75</v>
      </c>
      <c r="F22" s="19" t="n">
        <f aca="false">E21</f>
        <v>70</v>
      </c>
      <c r="G22" s="19" t="n">
        <f aca="false">Assumptions!$B$17-F22</f>
        <v>48</v>
      </c>
      <c r="H22" s="60" t="n">
        <f aca="false">D22*Assumptions!$B$27/Assumptions!$B$17</f>
        <v>2.24576271186441</v>
      </c>
      <c r="I22" s="60" t="n">
        <f aca="false">D22*Assumptions!$B$28/Assumptions!$B$17</f>
        <v>2.75423728813559</v>
      </c>
      <c r="J22" s="30" t="n">
        <f aca="false">D22*Assumptions!$B$33</f>
        <v>65000</v>
      </c>
      <c r="K22" s="30" t="n">
        <f aca="false">I22*Assumptions!$B$34</f>
        <v>13771.186440678</v>
      </c>
      <c r="L22" s="30" t="n">
        <f aca="false">J22+K22</f>
        <v>78771.186440678</v>
      </c>
      <c r="M22" s="61" t="n">
        <f aca="false">D22*Assumptions!$B$41/30/Assumptions!$B$17</f>
        <v>0.019774011299435</v>
      </c>
    </row>
    <row r="23" customFormat="false" ht="15" hidden="false" customHeight="false" outlineLevel="0" collapsed="false">
      <c r="A23" s="19" t="n">
        <v>18</v>
      </c>
      <c r="B23" s="31" t="n">
        <f aca="false">EDATE(Assumptions!$B$10,A23-1)</f>
        <v>46753</v>
      </c>
      <c r="C23" s="19" t="n">
        <f aca="false">ROUNDUP(A23/12,0)</f>
        <v>2</v>
      </c>
      <c r="D23" s="19" t="n">
        <f aca="false">IF(A23&lt;Assumptions!$B$31,0,MAX(0,MIN(Assumptions!$B$32,Assumptions!$B$17-E22)))</f>
        <v>5</v>
      </c>
      <c r="E23" s="19" t="n">
        <f aca="false">E22+D23</f>
        <v>80</v>
      </c>
      <c r="F23" s="19" t="n">
        <f aca="false">E22</f>
        <v>75</v>
      </c>
      <c r="G23" s="19" t="n">
        <f aca="false">Assumptions!$B$17-F23</f>
        <v>43</v>
      </c>
      <c r="H23" s="60" t="n">
        <f aca="false">D23*Assumptions!$B$27/Assumptions!$B$17</f>
        <v>2.24576271186441</v>
      </c>
      <c r="I23" s="60" t="n">
        <f aca="false">D23*Assumptions!$B$28/Assumptions!$B$17</f>
        <v>2.75423728813559</v>
      </c>
      <c r="J23" s="30" t="n">
        <f aca="false">D23*Assumptions!$B$33</f>
        <v>65000</v>
      </c>
      <c r="K23" s="30" t="n">
        <f aca="false">I23*Assumptions!$B$34</f>
        <v>13771.186440678</v>
      </c>
      <c r="L23" s="30" t="n">
        <f aca="false">J23+K23</f>
        <v>78771.186440678</v>
      </c>
      <c r="M23" s="61" t="n">
        <f aca="false">D23*Assumptions!$B$41/30/Assumptions!$B$17</f>
        <v>0.019774011299435</v>
      </c>
    </row>
    <row r="24" customFormat="false" ht="15" hidden="false" customHeight="false" outlineLevel="0" collapsed="false">
      <c r="A24" s="19" t="n">
        <v>19</v>
      </c>
      <c r="B24" s="31" t="n">
        <f aca="false">EDATE(Assumptions!$B$10,A24-1)</f>
        <v>46784</v>
      </c>
      <c r="C24" s="19" t="n">
        <f aca="false">ROUNDUP(A24/12,0)</f>
        <v>2</v>
      </c>
      <c r="D24" s="19" t="n">
        <f aca="false">IF(A24&lt;Assumptions!$B$31,0,MAX(0,MIN(Assumptions!$B$32,Assumptions!$B$17-E23)))</f>
        <v>5</v>
      </c>
      <c r="E24" s="19" t="n">
        <f aca="false">E23+D24</f>
        <v>85</v>
      </c>
      <c r="F24" s="19" t="n">
        <f aca="false">E23</f>
        <v>80</v>
      </c>
      <c r="G24" s="19" t="n">
        <f aca="false">Assumptions!$B$17-F24</f>
        <v>38</v>
      </c>
      <c r="H24" s="60" t="n">
        <f aca="false">D24*Assumptions!$B$27/Assumptions!$B$17</f>
        <v>2.24576271186441</v>
      </c>
      <c r="I24" s="60" t="n">
        <f aca="false">D24*Assumptions!$B$28/Assumptions!$B$17</f>
        <v>2.75423728813559</v>
      </c>
      <c r="J24" s="30" t="n">
        <f aca="false">D24*Assumptions!$B$33</f>
        <v>65000</v>
      </c>
      <c r="K24" s="30" t="n">
        <f aca="false">I24*Assumptions!$B$34</f>
        <v>13771.186440678</v>
      </c>
      <c r="L24" s="30" t="n">
        <f aca="false">J24+K24</f>
        <v>78771.186440678</v>
      </c>
      <c r="M24" s="61" t="n">
        <f aca="false">D24*Assumptions!$B$41/30/Assumptions!$B$17</f>
        <v>0.019774011299435</v>
      </c>
    </row>
    <row r="25" customFormat="false" ht="15" hidden="false" customHeight="false" outlineLevel="0" collapsed="false">
      <c r="A25" s="19" t="n">
        <v>20</v>
      </c>
      <c r="B25" s="31" t="n">
        <f aca="false">EDATE(Assumptions!$B$10,A25-1)</f>
        <v>46813</v>
      </c>
      <c r="C25" s="19" t="n">
        <f aca="false">ROUNDUP(A25/12,0)</f>
        <v>2</v>
      </c>
      <c r="D25" s="19" t="n">
        <f aca="false">IF(A25&lt;Assumptions!$B$31,0,MAX(0,MIN(Assumptions!$B$32,Assumptions!$B$17-E24)))</f>
        <v>5</v>
      </c>
      <c r="E25" s="19" t="n">
        <f aca="false">E24+D25</f>
        <v>90</v>
      </c>
      <c r="F25" s="19" t="n">
        <f aca="false">E24</f>
        <v>85</v>
      </c>
      <c r="G25" s="19" t="n">
        <f aca="false">Assumptions!$B$17-F25</f>
        <v>33</v>
      </c>
      <c r="H25" s="60" t="n">
        <f aca="false">D25*Assumptions!$B$27/Assumptions!$B$17</f>
        <v>2.24576271186441</v>
      </c>
      <c r="I25" s="60" t="n">
        <f aca="false">D25*Assumptions!$B$28/Assumptions!$B$17</f>
        <v>2.75423728813559</v>
      </c>
      <c r="J25" s="30" t="n">
        <f aca="false">D25*Assumptions!$B$33</f>
        <v>65000</v>
      </c>
      <c r="K25" s="30" t="n">
        <f aca="false">I25*Assumptions!$B$34</f>
        <v>13771.186440678</v>
      </c>
      <c r="L25" s="30" t="n">
        <f aca="false">J25+K25</f>
        <v>78771.186440678</v>
      </c>
      <c r="M25" s="61" t="n">
        <f aca="false">D25*Assumptions!$B$41/30/Assumptions!$B$17</f>
        <v>0.019774011299435</v>
      </c>
    </row>
    <row r="26" customFormat="false" ht="15" hidden="false" customHeight="false" outlineLevel="0" collapsed="false">
      <c r="A26" s="19" t="n">
        <v>21</v>
      </c>
      <c r="B26" s="31" t="n">
        <f aca="false">EDATE(Assumptions!$B$10,A26-1)</f>
        <v>46844</v>
      </c>
      <c r="C26" s="19" t="n">
        <f aca="false">ROUNDUP(A26/12,0)</f>
        <v>2</v>
      </c>
      <c r="D26" s="19" t="n">
        <f aca="false">IF(A26&lt;Assumptions!$B$31,0,MAX(0,MIN(Assumptions!$B$32,Assumptions!$B$17-E25)))</f>
        <v>5</v>
      </c>
      <c r="E26" s="19" t="n">
        <f aca="false">E25+D26</f>
        <v>95</v>
      </c>
      <c r="F26" s="19" t="n">
        <f aca="false">E25</f>
        <v>90</v>
      </c>
      <c r="G26" s="19" t="n">
        <f aca="false">Assumptions!$B$17-F26</f>
        <v>28</v>
      </c>
      <c r="H26" s="60" t="n">
        <f aca="false">D26*Assumptions!$B$27/Assumptions!$B$17</f>
        <v>2.24576271186441</v>
      </c>
      <c r="I26" s="60" t="n">
        <f aca="false">D26*Assumptions!$B$28/Assumptions!$B$17</f>
        <v>2.75423728813559</v>
      </c>
      <c r="J26" s="30" t="n">
        <f aca="false">D26*Assumptions!$B$33</f>
        <v>65000</v>
      </c>
      <c r="K26" s="30" t="n">
        <f aca="false">I26*Assumptions!$B$34</f>
        <v>13771.186440678</v>
      </c>
      <c r="L26" s="30" t="n">
        <f aca="false">J26+K26</f>
        <v>78771.186440678</v>
      </c>
      <c r="M26" s="61" t="n">
        <f aca="false">D26*Assumptions!$B$41/30/Assumptions!$B$17</f>
        <v>0.019774011299435</v>
      </c>
    </row>
    <row r="27" customFormat="false" ht="15" hidden="false" customHeight="false" outlineLevel="0" collapsed="false">
      <c r="A27" s="19" t="n">
        <v>22</v>
      </c>
      <c r="B27" s="31" t="n">
        <f aca="false">EDATE(Assumptions!$B$10,A27-1)</f>
        <v>46874</v>
      </c>
      <c r="C27" s="19" t="n">
        <f aca="false">ROUNDUP(A27/12,0)</f>
        <v>2</v>
      </c>
      <c r="D27" s="19" t="n">
        <f aca="false">IF(A27&lt;Assumptions!$B$31,0,MAX(0,MIN(Assumptions!$B$32,Assumptions!$B$17-E26)))</f>
        <v>5</v>
      </c>
      <c r="E27" s="19" t="n">
        <f aca="false">E26+D27</f>
        <v>100</v>
      </c>
      <c r="F27" s="19" t="n">
        <f aca="false">E26</f>
        <v>95</v>
      </c>
      <c r="G27" s="19" t="n">
        <f aca="false">Assumptions!$B$17-F27</f>
        <v>23</v>
      </c>
      <c r="H27" s="60" t="n">
        <f aca="false">D27*Assumptions!$B$27/Assumptions!$B$17</f>
        <v>2.24576271186441</v>
      </c>
      <c r="I27" s="60" t="n">
        <f aca="false">D27*Assumptions!$B$28/Assumptions!$B$17</f>
        <v>2.75423728813559</v>
      </c>
      <c r="J27" s="30" t="n">
        <f aca="false">D27*Assumptions!$B$33</f>
        <v>65000</v>
      </c>
      <c r="K27" s="30" t="n">
        <f aca="false">I27*Assumptions!$B$34</f>
        <v>13771.186440678</v>
      </c>
      <c r="L27" s="30" t="n">
        <f aca="false">J27+K27</f>
        <v>78771.186440678</v>
      </c>
      <c r="M27" s="61" t="n">
        <f aca="false">D27*Assumptions!$B$41/30/Assumptions!$B$17</f>
        <v>0.019774011299435</v>
      </c>
    </row>
    <row r="28" customFormat="false" ht="15" hidden="false" customHeight="false" outlineLevel="0" collapsed="false">
      <c r="A28" s="19" t="n">
        <v>23</v>
      </c>
      <c r="B28" s="31" t="n">
        <f aca="false">EDATE(Assumptions!$B$10,A28-1)</f>
        <v>46905</v>
      </c>
      <c r="C28" s="19" t="n">
        <f aca="false">ROUNDUP(A28/12,0)</f>
        <v>2</v>
      </c>
      <c r="D28" s="19" t="n">
        <f aca="false">IF(A28&lt;Assumptions!$B$31,0,MAX(0,MIN(Assumptions!$B$32,Assumptions!$B$17-E27)))</f>
        <v>5</v>
      </c>
      <c r="E28" s="19" t="n">
        <f aca="false">E27+D28</f>
        <v>105</v>
      </c>
      <c r="F28" s="19" t="n">
        <f aca="false">E27</f>
        <v>100</v>
      </c>
      <c r="G28" s="19" t="n">
        <f aca="false">Assumptions!$B$17-F28</f>
        <v>18</v>
      </c>
      <c r="H28" s="60" t="n">
        <f aca="false">D28*Assumptions!$B$27/Assumptions!$B$17</f>
        <v>2.24576271186441</v>
      </c>
      <c r="I28" s="60" t="n">
        <f aca="false">D28*Assumptions!$B$28/Assumptions!$B$17</f>
        <v>2.75423728813559</v>
      </c>
      <c r="J28" s="30" t="n">
        <f aca="false">D28*Assumptions!$B$33</f>
        <v>65000</v>
      </c>
      <c r="K28" s="30" t="n">
        <f aca="false">I28*Assumptions!$B$34</f>
        <v>13771.186440678</v>
      </c>
      <c r="L28" s="30" t="n">
        <f aca="false">J28+K28</f>
        <v>78771.186440678</v>
      </c>
      <c r="M28" s="61" t="n">
        <f aca="false">D28*Assumptions!$B$41/30/Assumptions!$B$17</f>
        <v>0.019774011299435</v>
      </c>
    </row>
    <row r="29" customFormat="false" ht="15" hidden="false" customHeight="false" outlineLevel="0" collapsed="false">
      <c r="A29" s="19" t="n">
        <v>24</v>
      </c>
      <c r="B29" s="31" t="n">
        <f aca="false">EDATE(Assumptions!$B$10,A29-1)</f>
        <v>46935</v>
      </c>
      <c r="C29" s="19" t="n">
        <f aca="false">ROUNDUP(A29/12,0)</f>
        <v>2</v>
      </c>
      <c r="D29" s="19" t="n">
        <f aca="false">IF(A29&lt;Assumptions!$B$31,0,MAX(0,MIN(Assumptions!$B$32,Assumptions!$B$17-E28)))</f>
        <v>5</v>
      </c>
      <c r="E29" s="19" t="n">
        <f aca="false">E28+D29</f>
        <v>110</v>
      </c>
      <c r="F29" s="19" t="n">
        <f aca="false">E28</f>
        <v>105</v>
      </c>
      <c r="G29" s="19" t="n">
        <f aca="false">Assumptions!$B$17-F29</f>
        <v>13</v>
      </c>
      <c r="H29" s="60" t="n">
        <f aca="false">D29*Assumptions!$B$27/Assumptions!$B$17</f>
        <v>2.24576271186441</v>
      </c>
      <c r="I29" s="60" t="n">
        <f aca="false">D29*Assumptions!$B$28/Assumptions!$B$17</f>
        <v>2.75423728813559</v>
      </c>
      <c r="J29" s="30" t="n">
        <f aca="false">D29*Assumptions!$B$33</f>
        <v>65000</v>
      </c>
      <c r="K29" s="30" t="n">
        <f aca="false">I29*Assumptions!$B$34</f>
        <v>13771.186440678</v>
      </c>
      <c r="L29" s="30" t="n">
        <f aca="false">J29+K29</f>
        <v>78771.186440678</v>
      </c>
      <c r="M29" s="61" t="n">
        <f aca="false">D29*Assumptions!$B$41/30/Assumptions!$B$17</f>
        <v>0.019774011299435</v>
      </c>
    </row>
    <row r="30" customFormat="false" ht="15" hidden="false" customHeight="false" outlineLevel="0" collapsed="false">
      <c r="A30" s="19" t="n">
        <v>25</v>
      </c>
      <c r="B30" s="31" t="n">
        <f aca="false">EDATE(Assumptions!$B$10,A30-1)</f>
        <v>46966</v>
      </c>
      <c r="C30" s="19" t="n">
        <f aca="false">ROUNDUP(A30/12,0)</f>
        <v>3</v>
      </c>
      <c r="D30" s="19" t="n">
        <f aca="false">IF(A30&lt;Assumptions!$B$31,0,MAX(0,MIN(Assumptions!$B$32,Assumptions!$B$17-E29)))</f>
        <v>5</v>
      </c>
      <c r="E30" s="19" t="n">
        <f aca="false">E29+D30</f>
        <v>115</v>
      </c>
      <c r="F30" s="19" t="n">
        <f aca="false">E29</f>
        <v>110</v>
      </c>
      <c r="G30" s="19" t="n">
        <f aca="false">Assumptions!$B$17-F30</f>
        <v>8</v>
      </c>
      <c r="H30" s="60" t="n">
        <f aca="false">D30*Assumptions!$B$27/Assumptions!$B$17</f>
        <v>2.24576271186441</v>
      </c>
      <c r="I30" s="60" t="n">
        <f aca="false">D30*Assumptions!$B$28/Assumptions!$B$17</f>
        <v>2.75423728813559</v>
      </c>
      <c r="J30" s="30" t="n">
        <f aca="false">D30*Assumptions!$B$33</f>
        <v>65000</v>
      </c>
      <c r="K30" s="30" t="n">
        <f aca="false">I30*Assumptions!$B$34</f>
        <v>13771.186440678</v>
      </c>
      <c r="L30" s="30" t="n">
        <f aca="false">J30+K30</f>
        <v>78771.186440678</v>
      </c>
      <c r="M30" s="61" t="n">
        <f aca="false">D30*Assumptions!$B$41/30/Assumptions!$B$17</f>
        <v>0.019774011299435</v>
      </c>
    </row>
    <row r="31" customFormat="false" ht="15" hidden="false" customHeight="false" outlineLevel="0" collapsed="false">
      <c r="A31" s="19" t="n">
        <v>26</v>
      </c>
      <c r="B31" s="31" t="n">
        <f aca="false">EDATE(Assumptions!$B$10,A31-1)</f>
        <v>46997</v>
      </c>
      <c r="C31" s="19" t="n">
        <f aca="false">ROUNDUP(A31/12,0)</f>
        <v>3</v>
      </c>
      <c r="D31" s="19" t="n">
        <f aca="false">IF(A31&lt;Assumptions!$B$31,0,MAX(0,MIN(Assumptions!$B$32,Assumptions!$B$17-E30)))</f>
        <v>3</v>
      </c>
      <c r="E31" s="19" t="n">
        <f aca="false">E30+D31</f>
        <v>118</v>
      </c>
      <c r="F31" s="19" t="n">
        <f aca="false">E30</f>
        <v>115</v>
      </c>
      <c r="G31" s="19" t="n">
        <f aca="false">Assumptions!$B$17-F31</f>
        <v>3</v>
      </c>
      <c r="H31" s="60" t="n">
        <f aca="false">D31*Assumptions!$B$27/Assumptions!$B$17</f>
        <v>1.34745762711864</v>
      </c>
      <c r="I31" s="60" t="n">
        <f aca="false">D31*Assumptions!$B$28/Assumptions!$B$17</f>
        <v>1.65254237288136</v>
      </c>
      <c r="J31" s="30" t="n">
        <f aca="false">D31*Assumptions!$B$33</f>
        <v>39000</v>
      </c>
      <c r="K31" s="30" t="n">
        <f aca="false">I31*Assumptions!$B$34</f>
        <v>8262.71186440678</v>
      </c>
      <c r="L31" s="30" t="n">
        <f aca="false">J31+K31</f>
        <v>47262.7118644068</v>
      </c>
      <c r="M31" s="61" t="n">
        <f aca="false">D31*Assumptions!$B$41/30/Assumptions!$B$17</f>
        <v>0.011864406779661</v>
      </c>
    </row>
    <row r="32" customFormat="false" ht="15" hidden="false" customHeight="false" outlineLevel="0" collapsed="false">
      <c r="A32" s="19" t="n">
        <v>27</v>
      </c>
      <c r="B32" s="31" t="n">
        <f aca="false">EDATE(Assumptions!$B$10,A32-1)</f>
        <v>47027</v>
      </c>
      <c r="C32" s="19" t="n">
        <f aca="false">ROUNDUP(A32/12,0)</f>
        <v>3</v>
      </c>
      <c r="D32" s="19" t="n">
        <f aca="false">IF(A32&lt;Assumptions!$B$31,0,MAX(0,MIN(Assumptions!$B$32,Assumptions!$B$17-E31)))</f>
        <v>0</v>
      </c>
      <c r="E32" s="19" t="n">
        <f aca="false">E31+D32</f>
        <v>118</v>
      </c>
      <c r="F32" s="19" t="n">
        <f aca="false">E31</f>
        <v>118</v>
      </c>
      <c r="G32" s="19" t="n">
        <f aca="false">Assumptions!$B$17-F32</f>
        <v>0</v>
      </c>
      <c r="H32" s="60" t="n">
        <f aca="false">D32*Assumptions!$B$27/Assumptions!$B$17</f>
        <v>0</v>
      </c>
      <c r="I32" s="60" t="n">
        <f aca="false">D32*Assumptions!$B$28/Assumptions!$B$17</f>
        <v>0</v>
      </c>
      <c r="J32" s="30" t="n">
        <f aca="false">D32*Assumptions!$B$33</f>
        <v>0</v>
      </c>
      <c r="K32" s="30" t="n">
        <f aca="false">I32*Assumptions!$B$34</f>
        <v>0</v>
      </c>
      <c r="L32" s="30" t="n">
        <f aca="false">J32+K32</f>
        <v>0</v>
      </c>
      <c r="M32" s="61" t="n">
        <f aca="false">D32*Assumptions!$B$41/30/Assumptions!$B$17</f>
        <v>0</v>
      </c>
    </row>
    <row r="33" customFormat="false" ht="15" hidden="false" customHeight="false" outlineLevel="0" collapsed="false">
      <c r="A33" s="19" t="n">
        <v>28</v>
      </c>
      <c r="B33" s="31" t="n">
        <f aca="false">EDATE(Assumptions!$B$10,A33-1)</f>
        <v>47058</v>
      </c>
      <c r="C33" s="19" t="n">
        <f aca="false">ROUNDUP(A33/12,0)</f>
        <v>3</v>
      </c>
      <c r="D33" s="19" t="n">
        <f aca="false">IF(A33&lt;Assumptions!$B$31,0,MAX(0,MIN(Assumptions!$B$32,Assumptions!$B$17-E32)))</f>
        <v>0</v>
      </c>
      <c r="E33" s="19" t="n">
        <f aca="false">E32+D33</f>
        <v>118</v>
      </c>
      <c r="F33" s="19" t="n">
        <f aca="false">E32</f>
        <v>118</v>
      </c>
      <c r="G33" s="19" t="n">
        <f aca="false">Assumptions!$B$17-F33</f>
        <v>0</v>
      </c>
      <c r="H33" s="60" t="n">
        <f aca="false">D33*Assumptions!$B$27/Assumptions!$B$17</f>
        <v>0</v>
      </c>
      <c r="I33" s="60" t="n">
        <f aca="false">D33*Assumptions!$B$28/Assumptions!$B$17</f>
        <v>0</v>
      </c>
      <c r="J33" s="30" t="n">
        <f aca="false">D33*Assumptions!$B$33</f>
        <v>0</v>
      </c>
      <c r="K33" s="30" t="n">
        <f aca="false">I33*Assumptions!$B$34</f>
        <v>0</v>
      </c>
      <c r="L33" s="30" t="n">
        <f aca="false">J33+K33</f>
        <v>0</v>
      </c>
      <c r="M33" s="61" t="n">
        <f aca="false">D33*Assumptions!$B$41/30/Assumptions!$B$17</f>
        <v>0</v>
      </c>
    </row>
    <row r="34" customFormat="false" ht="15" hidden="false" customHeight="false" outlineLevel="0" collapsed="false">
      <c r="A34" s="19" t="n">
        <v>29</v>
      </c>
      <c r="B34" s="31" t="n">
        <f aca="false">EDATE(Assumptions!$B$10,A34-1)</f>
        <v>47088</v>
      </c>
      <c r="C34" s="19" t="n">
        <f aca="false">ROUNDUP(A34/12,0)</f>
        <v>3</v>
      </c>
      <c r="D34" s="19" t="n">
        <f aca="false">IF(A34&lt;Assumptions!$B$31,0,MAX(0,MIN(Assumptions!$B$32,Assumptions!$B$17-E33)))</f>
        <v>0</v>
      </c>
      <c r="E34" s="19" t="n">
        <f aca="false">E33+D34</f>
        <v>118</v>
      </c>
      <c r="F34" s="19" t="n">
        <f aca="false">E33</f>
        <v>118</v>
      </c>
      <c r="G34" s="19" t="n">
        <f aca="false">Assumptions!$B$17-F34</f>
        <v>0</v>
      </c>
      <c r="H34" s="60" t="n">
        <f aca="false">D34*Assumptions!$B$27/Assumptions!$B$17</f>
        <v>0</v>
      </c>
      <c r="I34" s="60" t="n">
        <f aca="false">D34*Assumptions!$B$28/Assumptions!$B$17</f>
        <v>0</v>
      </c>
      <c r="J34" s="30" t="n">
        <f aca="false">D34*Assumptions!$B$33</f>
        <v>0</v>
      </c>
      <c r="K34" s="30" t="n">
        <f aca="false">I34*Assumptions!$B$34</f>
        <v>0</v>
      </c>
      <c r="L34" s="30" t="n">
        <f aca="false">J34+K34</f>
        <v>0</v>
      </c>
      <c r="M34" s="61" t="n">
        <f aca="false">D34*Assumptions!$B$41/30/Assumptions!$B$17</f>
        <v>0</v>
      </c>
    </row>
    <row r="35" customFormat="false" ht="15" hidden="false" customHeight="false" outlineLevel="0" collapsed="false">
      <c r="A35" s="19" t="n">
        <v>30</v>
      </c>
      <c r="B35" s="31" t="n">
        <f aca="false">EDATE(Assumptions!$B$10,A35-1)</f>
        <v>47119</v>
      </c>
      <c r="C35" s="19" t="n">
        <f aca="false">ROUNDUP(A35/12,0)</f>
        <v>3</v>
      </c>
      <c r="D35" s="19" t="n">
        <f aca="false">IF(A35&lt;Assumptions!$B$31,0,MAX(0,MIN(Assumptions!$B$32,Assumptions!$B$17-E34)))</f>
        <v>0</v>
      </c>
      <c r="E35" s="19" t="n">
        <f aca="false">E34+D35</f>
        <v>118</v>
      </c>
      <c r="F35" s="19" t="n">
        <f aca="false">E34</f>
        <v>118</v>
      </c>
      <c r="G35" s="19" t="n">
        <f aca="false">Assumptions!$B$17-F35</f>
        <v>0</v>
      </c>
      <c r="H35" s="60" t="n">
        <f aca="false">D35*Assumptions!$B$27/Assumptions!$B$17</f>
        <v>0</v>
      </c>
      <c r="I35" s="60" t="n">
        <f aca="false">D35*Assumptions!$B$28/Assumptions!$B$17</f>
        <v>0</v>
      </c>
      <c r="J35" s="30" t="n">
        <f aca="false">D35*Assumptions!$B$33</f>
        <v>0</v>
      </c>
      <c r="K35" s="30" t="n">
        <f aca="false">I35*Assumptions!$B$34</f>
        <v>0</v>
      </c>
      <c r="L35" s="30" t="n">
        <f aca="false">J35+K35</f>
        <v>0</v>
      </c>
      <c r="M35" s="61" t="n">
        <f aca="false">D35*Assumptions!$B$41/30/Assumptions!$B$17</f>
        <v>0</v>
      </c>
    </row>
    <row r="36" customFormat="false" ht="15" hidden="false" customHeight="false" outlineLevel="0" collapsed="false">
      <c r="A36" s="19" t="n">
        <v>31</v>
      </c>
      <c r="B36" s="31" t="n">
        <f aca="false">EDATE(Assumptions!$B$10,A36-1)</f>
        <v>47150</v>
      </c>
      <c r="C36" s="19" t="n">
        <f aca="false">ROUNDUP(A36/12,0)</f>
        <v>3</v>
      </c>
      <c r="D36" s="19" t="n">
        <f aca="false">IF(A36&lt;Assumptions!$B$31,0,MAX(0,MIN(Assumptions!$B$32,Assumptions!$B$17-E35)))</f>
        <v>0</v>
      </c>
      <c r="E36" s="19" t="n">
        <f aca="false">E35+D36</f>
        <v>118</v>
      </c>
      <c r="F36" s="19" t="n">
        <f aca="false">E35</f>
        <v>118</v>
      </c>
      <c r="G36" s="19" t="n">
        <f aca="false">Assumptions!$B$17-F36</f>
        <v>0</v>
      </c>
      <c r="H36" s="60" t="n">
        <f aca="false">D36*Assumptions!$B$27/Assumptions!$B$17</f>
        <v>0</v>
      </c>
      <c r="I36" s="60" t="n">
        <f aca="false">D36*Assumptions!$B$28/Assumptions!$B$17</f>
        <v>0</v>
      </c>
      <c r="J36" s="30" t="n">
        <f aca="false">D36*Assumptions!$B$33</f>
        <v>0</v>
      </c>
      <c r="K36" s="30" t="n">
        <f aca="false">I36*Assumptions!$B$34</f>
        <v>0</v>
      </c>
      <c r="L36" s="30" t="n">
        <f aca="false">J36+K36</f>
        <v>0</v>
      </c>
      <c r="M36" s="61" t="n">
        <f aca="false">D36*Assumptions!$B$41/30/Assumptions!$B$17</f>
        <v>0</v>
      </c>
    </row>
    <row r="37" customFormat="false" ht="15" hidden="false" customHeight="false" outlineLevel="0" collapsed="false">
      <c r="A37" s="19" t="n">
        <v>32</v>
      </c>
      <c r="B37" s="31" t="n">
        <f aca="false">EDATE(Assumptions!$B$10,A37-1)</f>
        <v>47178</v>
      </c>
      <c r="C37" s="19" t="n">
        <f aca="false">ROUNDUP(A37/12,0)</f>
        <v>3</v>
      </c>
      <c r="D37" s="19" t="n">
        <f aca="false">IF(A37&lt;Assumptions!$B$31,0,MAX(0,MIN(Assumptions!$B$32,Assumptions!$B$17-E36)))</f>
        <v>0</v>
      </c>
      <c r="E37" s="19" t="n">
        <f aca="false">E36+D37</f>
        <v>118</v>
      </c>
      <c r="F37" s="19" t="n">
        <f aca="false">E36</f>
        <v>118</v>
      </c>
      <c r="G37" s="19" t="n">
        <f aca="false">Assumptions!$B$17-F37</f>
        <v>0</v>
      </c>
      <c r="H37" s="60" t="n">
        <f aca="false">D37*Assumptions!$B$27/Assumptions!$B$17</f>
        <v>0</v>
      </c>
      <c r="I37" s="60" t="n">
        <f aca="false">D37*Assumptions!$B$28/Assumptions!$B$17</f>
        <v>0</v>
      </c>
      <c r="J37" s="30" t="n">
        <f aca="false">D37*Assumptions!$B$33</f>
        <v>0</v>
      </c>
      <c r="K37" s="30" t="n">
        <f aca="false">I37*Assumptions!$B$34</f>
        <v>0</v>
      </c>
      <c r="L37" s="30" t="n">
        <f aca="false">J37+K37</f>
        <v>0</v>
      </c>
      <c r="M37" s="61" t="n">
        <f aca="false">D37*Assumptions!$B$41/30/Assumptions!$B$17</f>
        <v>0</v>
      </c>
    </row>
    <row r="38" customFormat="false" ht="15" hidden="false" customHeight="false" outlineLevel="0" collapsed="false">
      <c r="A38" s="19" t="n">
        <v>33</v>
      </c>
      <c r="B38" s="31" t="n">
        <f aca="false">EDATE(Assumptions!$B$10,A38-1)</f>
        <v>47209</v>
      </c>
      <c r="C38" s="19" t="n">
        <f aca="false">ROUNDUP(A38/12,0)</f>
        <v>3</v>
      </c>
      <c r="D38" s="19" t="n">
        <f aca="false">IF(A38&lt;Assumptions!$B$31,0,MAX(0,MIN(Assumptions!$B$32,Assumptions!$B$17-E37)))</f>
        <v>0</v>
      </c>
      <c r="E38" s="19" t="n">
        <f aca="false">E37+D38</f>
        <v>118</v>
      </c>
      <c r="F38" s="19" t="n">
        <f aca="false">E37</f>
        <v>118</v>
      </c>
      <c r="G38" s="19" t="n">
        <f aca="false">Assumptions!$B$17-F38</f>
        <v>0</v>
      </c>
      <c r="H38" s="60" t="n">
        <f aca="false">D38*Assumptions!$B$27/Assumptions!$B$17</f>
        <v>0</v>
      </c>
      <c r="I38" s="60" t="n">
        <f aca="false">D38*Assumptions!$B$28/Assumptions!$B$17</f>
        <v>0</v>
      </c>
      <c r="J38" s="30" t="n">
        <f aca="false">D38*Assumptions!$B$33</f>
        <v>0</v>
      </c>
      <c r="K38" s="30" t="n">
        <f aca="false">I38*Assumptions!$B$34</f>
        <v>0</v>
      </c>
      <c r="L38" s="30" t="n">
        <f aca="false">J38+K38</f>
        <v>0</v>
      </c>
      <c r="M38" s="61" t="n">
        <f aca="false">D38*Assumptions!$B$41/30/Assumptions!$B$17</f>
        <v>0</v>
      </c>
    </row>
    <row r="39" customFormat="false" ht="15" hidden="false" customHeight="false" outlineLevel="0" collapsed="false">
      <c r="A39" s="19" t="n">
        <v>34</v>
      </c>
      <c r="B39" s="31" t="n">
        <f aca="false">EDATE(Assumptions!$B$10,A39-1)</f>
        <v>47239</v>
      </c>
      <c r="C39" s="19" t="n">
        <f aca="false">ROUNDUP(A39/12,0)</f>
        <v>3</v>
      </c>
      <c r="D39" s="19" t="n">
        <f aca="false">IF(A39&lt;Assumptions!$B$31,0,MAX(0,MIN(Assumptions!$B$32,Assumptions!$B$17-E38)))</f>
        <v>0</v>
      </c>
      <c r="E39" s="19" t="n">
        <f aca="false">E38+D39</f>
        <v>118</v>
      </c>
      <c r="F39" s="19" t="n">
        <f aca="false">E38</f>
        <v>118</v>
      </c>
      <c r="G39" s="19" t="n">
        <f aca="false">Assumptions!$B$17-F39</f>
        <v>0</v>
      </c>
      <c r="H39" s="60" t="n">
        <f aca="false">D39*Assumptions!$B$27/Assumptions!$B$17</f>
        <v>0</v>
      </c>
      <c r="I39" s="60" t="n">
        <f aca="false">D39*Assumptions!$B$28/Assumptions!$B$17</f>
        <v>0</v>
      </c>
      <c r="J39" s="30" t="n">
        <f aca="false">D39*Assumptions!$B$33</f>
        <v>0</v>
      </c>
      <c r="K39" s="30" t="n">
        <f aca="false">I39*Assumptions!$B$34</f>
        <v>0</v>
      </c>
      <c r="L39" s="30" t="n">
        <f aca="false">J39+K39</f>
        <v>0</v>
      </c>
      <c r="M39" s="61" t="n">
        <f aca="false">D39*Assumptions!$B$41/30/Assumptions!$B$17</f>
        <v>0</v>
      </c>
    </row>
    <row r="40" customFormat="false" ht="15" hidden="false" customHeight="false" outlineLevel="0" collapsed="false">
      <c r="A40" s="19" t="n">
        <v>35</v>
      </c>
      <c r="B40" s="31" t="n">
        <f aca="false">EDATE(Assumptions!$B$10,A40-1)</f>
        <v>47270</v>
      </c>
      <c r="C40" s="19" t="n">
        <f aca="false">ROUNDUP(A40/12,0)</f>
        <v>3</v>
      </c>
      <c r="D40" s="19" t="n">
        <f aca="false">IF(A40&lt;Assumptions!$B$31,0,MAX(0,MIN(Assumptions!$B$32,Assumptions!$B$17-E39)))</f>
        <v>0</v>
      </c>
      <c r="E40" s="19" t="n">
        <f aca="false">E39+D40</f>
        <v>118</v>
      </c>
      <c r="F40" s="19" t="n">
        <f aca="false">E39</f>
        <v>118</v>
      </c>
      <c r="G40" s="19" t="n">
        <f aca="false">Assumptions!$B$17-F40</f>
        <v>0</v>
      </c>
      <c r="H40" s="60" t="n">
        <f aca="false">D40*Assumptions!$B$27/Assumptions!$B$17</f>
        <v>0</v>
      </c>
      <c r="I40" s="60" t="n">
        <f aca="false">D40*Assumptions!$B$28/Assumptions!$B$17</f>
        <v>0</v>
      </c>
      <c r="J40" s="30" t="n">
        <f aca="false">D40*Assumptions!$B$33</f>
        <v>0</v>
      </c>
      <c r="K40" s="30" t="n">
        <f aca="false">I40*Assumptions!$B$34</f>
        <v>0</v>
      </c>
      <c r="L40" s="30" t="n">
        <f aca="false">J40+K40</f>
        <v>0</v>
      </c>
      <c r="M40" s="61" t="n">
        <f aca="false">D40*Assumptions!$B$41/30/Assumptions!$B$17</f>
        <v>0</v>
      </c>
    </row>
    <row r="41" customFormat="false" ht="15" hidden="false" customHeight="false" outlineLevel="0" collapsed="false">
      <c r="A41" s="19" t="n">
        <v>36</v>
      </c>
      <c r="B41" s="31" t="n">
        <f aca="false">EDATE(Assumptions!$B$10,A41-1)</f>
        <v>47300</v>
      </c>
      <c r="C41" s="19" t="n">
        <f aca="false">ROUNDUP(A41/12,0)</f>
        <v>3</v>
      </c>
      <c r="D41" s="19" t="n">
        <f aca="false">IF(A41&lt;Assumptions!$B$31,0,MAX(0,MIN(Assumptions!$B$32,Assumptions!$B$17-E40)))</f>
        <v>0</v>
      </c>
      <c r="E41" s="19" t="n">
        <f aca="false">E40+D41</f>
        <v>118</v>
      </c>
      <c r="F41" s="19" t="n">
        <f aca="false">E40</f>
        <v>118</v>
      </c>
      <c r="G41" s="19" t="n">
        <f aca="false">Assumptions!$B$17-F41</f>
        <v>0</v>
      </c>
      <c r="H41" s="60" t="n">
        <f aca="false">D41*Assumptions!$B$27/Assumptions!$B$17</f>
        <v>0</v>
      </c>
      <c r="I41" s="60" t="n">
        <f aca="false">D41*Assumptions!$B$28/Assumptions!$B$17</f>
        <v>0</v>
      </c>
      <c r="J41" s="30" t="n">
        <f aca="false">D41*Assumptions!$B$33</f>
        <v>0</v>
      </c>
      <c r="K41" s="30" t="n">
        <f aca="false">I41*Assumptions!$B$34</f>
        <v>0</v>
      </c>
      <c r="L41" s="30" t="n">
        <f aca="false">J41+K41</f>
        <v>0</v>
      </c>
      <c r="M41" s="61" t="n">
        <f aca="false">D41*Assumptions!$B$41/30/Assumptions!$B$17</f>
        <v>0</v>
      </c>
    </row>
    <row r="42" customFormat="false" ht="15" hidden="false" customHeight="false" outlineLevel="0" collapsed="false">
      <c r="A42" s="19" t="n">
        <v>37</v>
      </c>
      <c r="B42" s="31" t="n">
        <f aca="false">EDATE(Assumptions!$B$10,A42-1)</f>
        <v>47331</v>
      </c>
      <c r="C42" s="19" t="n">
        <f aca="false">ROUNDUP(A42/12,0)</f>
        <v>4</v>
      </c>
      <c r="D42" s="19" t="n">
        <f aca="false">IF(A42&lt;Assumptions!$B$31,0,MAX(0,MIN(Assumptions!$B$32,Assumptions!$B$17-E41)))</f>
        <v>0</v>
      </c>
      <c r="E42" s="19" t="n">
        <f aca="false">E41+D42</f>
        <v>118</v>
      </c>
      <c r="F42" s="19" t="n">
        <f aca="false">E41</f>
        <v>118</v>
      </c>
      <c r="G42" s="19" t="n">
        <f aca="false">Assumptions!$B$17-F42</f>
        <v>0</v>
      </c>
      <c r="H42" s="60" t="n">
        <f aca="false">D42*Assumptions!$B$27/Assumptions!$B$17</f>
        <v>0</v>
      </c>
      <c r="I42" s="60" t="n">
        <f aca="false">D42*Assumptions!$B$28/Assumptions!$B$17</f>
        <v>0</v>
      </c>
      <c r="J42" s="30" t="n">
        <f aca="false">D42*Assumptions!$B$33</f>
        <v>0</v>
      </c>
      <c r="K42" s="30" t="n">
        <f aca="false">I42*Assumptions!$B$34</f>
        <v>0</v>
      </c>
      <c r="L42" s="30" t="n">
        <f aca="false">J42+K42</f>
        <v>0</v>
      </c>
      <c r="M42" s="61" t="n">
        <f aca="false">D42*Assumptions!$B$41/30/Assumptions!$B$17</f>
        <v>0</v>
      </c>
    </row>
    <row r="43" customFormat="false" ht="15" hidden="false" customHeight="false" outlineLevel="0" collapsed="false">
      <c r="A43" s="19" t="n">
        <v>38</v>
      </c>
      <c r="B43" s="31" t="n">
        <f aca="false">EDATE(Assumptions!$B$10,A43-1)</f>
        <v>47362</v>
      </c>
      <c r="C43" s="19" t="n">
        <f aca="false">ROUNDUP(A43/12,0)</f>
        <v>4</v>
      </c>
      <c r="D43" s="19" t="n">
        <f aca="false">IF(A43&lt;Assumptions!$B$31,0,MAX(0,MIN(Assumptions!$B$32,Assumptions!$B$17-E42)))</f>
        <v>0</v>
      </c>
      <c r="E43" s="19" t="n">
        <f aca="false">E42+D43</f>
        <v>118</v>
      </c>
      <c r="F43" s="19" t="n">
        <f aca="false">E42</f>
        <v>118</v>
      </c>
      <c r="G43" s="19" t="n">
        <f aca="false">Assumptions!$B$17-F43</f>
        <v>0</v>
      </c>
      <c r="H43" s="60" t="n">
        <f aca="false">D43*Assumptions!$B$27/Assumptions!$B$17</f>
        <v>0</v>
      </c>
      <c r="I43" s="60" t="n">
        <f aca="false">D43*Assumptions!$B$28/Assumptions!$B$17</f>
        <v>0</v>
      </c>
      <c r="J43" s="30" t="n">
        <f aca="false">D43*Assumptions!$B$33</f>
        <v>0</v>
      </c>
      <c r="K43" s="30" t="n">
        <f aca="false">I43*Assumptions!$B$34</f>
        <v>0</v>
      </c>
      <c r="L43" s="30" t="n">
        <f aca="false">J43+K43</f>
        <v>0</v>
      </c>
      <c r="M43" s="61" t="n">
        <f aca="false">D43*Assumptions!$B$41/30/Assumptions!$B$17</f>
        <v>0</v>
      </c>
    </row>
    <row r="44" customFormat="false" ht="15" hidden="false" customHeight="false" outlineLevel="0" collapsed="false">
      <c r="A44" s="19" t="n">
        <v>39</v>
      </c>
      <c r="B44" s="31" t="n">
        <f aca="false">EDATE(Assumptions!$B$10,A44-1)</f>
        <v>47392</v>
      </c>
      <c r="C44" s="19" t="n">
        <f aca="false">ROUNDUP(A44/12,0)</f>
        <v>4</v>
      </c>
      <c r="D44" s="19" t="n">
        <f aca="false">IF(A44&lt;Assumptions!$B$31,0,MAX(0,MIN(Assumptions!$B$32,Assumptions!$B$17-E43)))</f>
        <v>0</v>
      </c>
      <c r="E44" s="19" t="n">
        <f aca="false">E43+D44</f>
        <v>118</v>
      </c>
      <c r="F44" s="19" t="n">
        <f aca="false">E43</f>
        <v>118</v>
      </c>
      <c r="G44" s="19" t="n">
        <f aca="false">Assumptions!$B$17-F44</f>
        <v>0</v>
      </c>
      <c r="H44" s="60" t="n">
        <f aca="false">D44*Assumptions!$B$27/Assumptions!$B$17</f>
        <v>0</v>
      </c>
      <c r="I44" s="60" t="n">
        <f aca="false">D44*Assumptions!$B$28/Assumptions!$B$17</f>
        <v>0</v>
      </c>
      <c r="J44" s="30" t="n">
        <f aca="false">D44*Assumptions!$B$33</f>
        <v>0</v>
      </c>
      <c r="K44" s="30" t="n">
        <f aca="false">I44*Assumptions!$B$34</f>
        <v>0</v>
      </c>
      <c r="L44" s="30" t="n">
        <f aca="false">J44+K44</f>
        <v>0</v>
      </c>
      <c r="M44" s="61" t="n">
        <f aca="false">D44*Assumptions!$B$41/30/Assumptions!$B$17</f>
        <v>0</v>
      </c>
    </row>
    <row r="45" customFormat="false" ht="15" hidden="false" customHeight="false" outlineLevel="0" collapsed="false">
      <c r="A45" s="19" t="n">
        <v>40</v>
      </c>
      <c r="B45" s="31" t="n">
        <f aca="false">EDATE(Assumptions!$B$10,A45-1)</f>
        <v>47423</v>
      </c>
      <c r="C45" s="19" t="n">
        <f aca="false">ROUNDUP(A45/12,0)</f>
        <v>4</v>
      </c>
      <c r="D45" s="19" t="n">
        <f aca="false">IF(A45&lt;Assumptions!$B$31,0,MAX(0,MIN(Assumptions!$B$32,Assumptions!$B$17-E44)))</f>
        <v>0</v>
      </c>
      <c r="E45" s="19" t="n">
        <f aca="false">E44+D45</f>
        <v>118</v>
      </c>
      <c r="F45" s="19" t="n">
        <f aca="false">E44</f>
        <v>118</v>
      </c>
      <c r="G45" s="19" t="n">
        <f aca="false">Assumptions!$B$17-F45</f>
        <v>0</v>
      </c>
      <c r="H45" s="60" t="n">
        <f aca="false">D45*Assumptions!$B$27/Assumptions!$B$17</f>
        <v>0</v>
      </c>
      <c r="I45" s="60" t="n">
        <f aca="false">D45*Assumptions!$B$28/Assumptions!$B$17</f>
        <v>0</v>
      </c>
      <c r="J45" s="30" t="n">
        <f aca="false">D45*Assumptions!$B$33</f>
        <v>0</v>
      </c>
      <c r="K45" s="30" t="n">
        <f aca="false">I45*Assumptions!$B$34</f>
        <v>0</v>
      </c>
      <c r="L45" s="30" t="n">
        <f aca="false">J45+K45</f>
        <v>0</v>
      </c>
      <c r="M45" s="61" t="n">
        <f aca="false">D45*Assumptions!$B$41/30/Assumptions!$B$17</f>
        <v>0</v>
      </c>
    </row>
    <row r="46" customFormat="false" ht="15" hidden="false" customHeight="false" outlineLevel="0" collapsed="false">
      <c r="A46" s="19" t="n">
        <v>41</v>
      </c>
      <c r="B46" s="31" t="n">
        <f aca="false">EDATE(Assumptions!$B$10,A46-1)</f>
        <v>47453</v>
      </c>
      <c r="C46" s="19" t="n">
        <f aca="false">ROUNDUP(A46/12,0)</f>
        <v>4</v>
      </c>
      <c r="D46" s="19" t="n">
        <f aca="false">IF(A46&lt;Assumptions!$B$31,0,MAX(0,MIN(Assumptions!$B$32,Assumptions!$B$17-E45)))</f>
        <v>0</v>
      </c>
      <c r="E46" s="19" t="n">
        <f aca="false">E45+D46</f>
        <v>118</v>
      </c>
      <c r="F46" s="19" t="n">
        <f aca="false">E45</f>
        <v>118</v>
      </c>
      <c r="G46" s="19" t="n">
        <f aca="false">Assumptions!$B$17-F46</f>
        <v>0</v>
      </c>
      <c r="H46" s="60" t="n">
        <f aca="false">D46*Assumptions!$B$27/Assumptions!$B$17</f>
        <v>0</v>
      </c>
      <c r="I46" s="60" t="n">
        <f aca="false">D46*Assumptions!$B$28/Assumptions!$B$17</f>
        <v>0</v>
      </c>
      <c r="J46" s="30" t="n">
        <f aca="false">D46*Assumptions!$B$33</f>
        <v>0</v>
      </c>
      <c r="K46" s="30" t="n">
        <f aca="false">I46*Assumptions!$B$34</f>
        <v>0</v>
      </c>
      <c r="L46" s="30" t="n">
        <f aca="false">J46+K46</f>
        <v>0</v>
      </c>
      <c r="M46" s="61" t="n">
        <f aca="false">D46*Assumptions!$B$41/30/Assumptions!$B$17</f>
        <v>0</v>
      </c>
    </row>
    <row r="47" customFormat="false" ht="15" hidden="false" customHeight="false" outlineLevel="0" collapsed="false">
      <c r="A47" s="19" t="n">
        <v>42</v>
      </c>
      <c r="B47" s="31" t="n">
        <f aca="false">EDATE(Assumptions!$B$10,A47-1)</f>
        <v>47484</v>
      </c>
      <c r="C47" s="19" t="n">
        <f aca="false">ROUNDUP(A47/12,0)</f>
        <v>4</v>
      </c>
      <c r="D47" s="19" t="n">
        <f aca="false">IF(A47&lt;Assumptions!$B$31,0,MAX(0,MIN(Assumptions!$B$32,Assumptions!$B$17-E46)))</f>
        <v>0</v>
      </c>
      <c r="E47" s="19" t="n">
        <f aca="false">E46+D47</f>
        <v>118</v>
      </c>
      <c r="F47" s="19" t="n">
        <f aca="false">E46</f>
        <v>118</v>
      </c>
      <c r="G47" s="19" t="n">
        <f aca="false">Assumptions!$B$17-F47</f>
        <v>0</v>
      </c>
      <c r="H47" s="60" t="n">
        <f aca="false">D47*Assumptions!$B$27/Assumptions!$B$17</f>
        <v>0</v>
      </c>
      <c r="I47" s="60" t="n">
        <f aca="false">D47*Assumptions!$B$28/Assumptions!$B$17</f>
        <v>0</v>
      </c>
      <c r="J47" s="30" t="n">
        <f aca="false">D47*Assumptions!$B$33</f>
        <v>0</v>
      </c>
      <c r="K47" s="30" t="n">
        <f aca="false">I47*Assumptions!$B$34</f>
        <v>0</v>
      </c>
      <c r="L47" s="30" t="n">
        <f aca="false">J47+K47</f>
        <v>0</v>
      </c>
      <c r="M47" s="61" t="n">
        <f aca="false">D47*Assumptions!$B$41/30/Assumptions!$B$17</f>
        <v>0</v>
      </c>
    </row>
    <row r="48" customFormat="false" ht="15" hidden="false" customHeight="false" outlineLevel="0" collapsed="false">
      <c r="A48" s="19" t="n">
        <v>43</v>
      </c>
      <c r="B48" s="31" t="n">
        <f aca="false">EDATE(Assumptions!$B$10,A48-1)</f>
        <v>47515</v>
      </c>
      <c r="C48" s="19" t="n">
        <f aca="false">ROUNDUP(A48/12,0)</f>
        <v>4</v>
      </c>
      <c r="D48" s="19" t="n">
        <f aca="false">IF(A48&lt;Assumptions!$B$31,0,MAX(0,MIN(Assumptions!$B$32,Assumptions!$B$17-E47)))</f>
        <v>0</v>
      </c>
      <c r="E48" s="19" t="n">
        <f aca="false">E47+D48</f>
        <v>118</v>
      </c>
      <c r="F48" s="19" t="n">
        <f aca="false">E47</f>
        <v>118</v>
      </c>
      <c r="G48" s="19" t="n">
        <f aca="false">Assumptions!$B$17-F48</f>
        <v>0</v>
      </c>
      <c r="H48" s="60" t="n">
        <f aca="false">D48*Assumptions!$B$27/Assumptions!$B$17</f>
        <v>0</v>
      </c>
      <c r="I48" s="60" t="n">
        <f aca="false">D48*Assumptions!$B$28/Assumptions!$B$17</f>
        <v>0</v>
      </c>
      <c r="J48" s="30" t="n">
        <f aca="false">D48*Assumptions!$B$33</f>
        <v>0</v>
      </c>
      <c r="K48" s="30" t="n">
        <f aca="false">I48*Assumptions!$B$34</f>
        <v>0</v>
      </c>
      <c r="L48" s="30" t="n">
        <f aca="false">J48+K48</f>
        <v>0</v>
      </c>
      <c r="M48" s="61" t="n">
        <f aca="false">D48*Assumptions!$B$41/30/Assumptions!$B$17</f>
        <v>0</v>
      </c>
    </row>
    <row r="49" customFormat="false" ht="15" hidden="false" customHeight="false" outlineLevel="0" collapsed="false">
      <c r="A49" s="19" t="n">
        <v>44</v>
      </c>
      <c r="B49" s="31" t="n">
        <f aca="false">EDATE(Assumptions!$B$10,A49-1)</f>
        <v>47543</v>
      </c>
      <c r="C49" s="19" t="n">
        <f aca="false">ROUNDUP(A49/12,0)</f>
        <v>4</v>
      </c>
      <c r="D49" s="19" t="n">
        <f aca="false">IF(A49&lt;Assumptions!$B$31,0,MAX(0,MIN(Assumptions!$B$32,Assumptions!$B$17-E48)))</f>
        <v>0</v>
      </c>
      <c r="E49" s="19" t="n">
        <f aca="false">E48+D49</f>
        <v>118</v>
      </c>
      <c r="F49" s="19" t="n">
        <f aca="false">E48</f>
        <v>118</v>
      </c>
      <c r="G49" s="19" t="n">
        <f aca="false">Assumptions!$B$17-F49</f>
        <v>0</v>
      </c>
      <c r="H49" s="60" t="n">
        <f aca="false">D49*Assumptions!$B$27/Assumptions!$B$17</f>
        <v>0</v>
      </c>
      <c r="I49" s="60" t="n">
        <f aca="false">D49*Assumptions!$B$28/Assumptions!$B$17</f>
        <v>0</v>
      </c>
      <c r="J49" s="30" t="n">
        <f aca="false">D49*Assumptions!$B$33</f>
        <v>0</v>
      </c>
      <c r="K49" s="30" t="n">
        <f aca="false">I49*Assumptions!$B$34</f>
        <v>0</v>
      </c>
      <c r="L49" s="30" t="n">
        <f aca="false">J49+K49</f>
        <v>0</v>
      </c>
      <c r="M49" s="61" t="n">
        <f aca="false">D49*Assumptions!$B$41/30/Assumptions!$B$17</f>
        <v>0</v>
      </c>
    </row>
    <row r="50" customFormat="false" ht="15" hidden="false" customHeight="false" outlineLevel="0" collapsed="false">
      <c r="A50" s="19" t="n">
        <v>45</v>
      </c>
      <c r="B50" s="31" t="n">
        <f aca="false">EDATE(Assumptions!$B$10,A50-1)</f>
        <v>47574</v>
      </c>
      <c r="C50" s="19" t="n">
        <f aca="false">ROUNDUP(A50/12,0)</f>
        <v>4</v>
      </c>
      <c r="D50" s="19" t="n">
        <f aca="false">IF(A50&lt;Assumptions!$B$31,0,MAX(0,MIN(Assumptions!$B$32,Assumptions!$B$17-E49)))</f>
        <v>0</v>
      </c>
      <c r="E50" s="19" t="n">
        <f aca="false">E49+D50</f>
        <v>118</v>
      </c>
      <c r="F50" s="19" t="n">
        <f aca="false">E49</f>
        <v>118</v>
      </c>
      <c r="G50" s="19" t="n">
        <f aca="false">Assumptions!$B$17-F50</f>
        <v>0</v>
      </c>
      <c r="H50" s="60" t="n">
        <f aca="false">D50*Assumptions!$B$27/Assumptions!$B$17</f>
        <v>0</v>
      </c>
      <c r="I50" s="60" t="n">
        <f aca="false">D50*Assumptions!$B$28/Assumptions!$B$17</f>
        <v>0</v>
      </c>
      <c r="J50" s="30" t="n">
        <f aca="false">D50*Assumptions!$B$33</f>
        <v>0</v>
      </c>
      <c r="K50" s="30" t="n">
        <f aca="false">I50*Assumptions!$B$34</f>
        <v>0</v>
      </c>
      <c r="L50" s="30" t="n">
        <f aca="false">J50+K50</f>
        <v>0</v>
      </c>
      <c r="M50" s="61" t="n">
        <f aca="false">D50*Assumptions!$B$41/30/Assumptions!$B$17</f>
        <v>0</v>
      </c>
    </row>
    <row r="51" customFormat="false" ht="15" hidden="false" customHeight="false" outlineLevel="0" collapsed="false">
      <c r="A51" s="19" t="n">
        <v>46</v>
      </c>
      <c r="B51" s="31" t="n">
        <f aca="false">EDATE(Assumptions!$B$10,A51-1)</f>
        <v>47604</v>
      </c>
      <c r="C51" s="19" t="n">
        <f aca="false">ROUNDUP(A51/12,0)</f>
        <v>4</v>
      </c>
      <c r="D51" s="19" t="n">
        <f aca="false">IF(A51&lt;Assumptions!$B$31,0,MAX(0,MIN(Assumptions!$B$32,Assumptions!$B$17-E50)))</f>
        <v>0</v>
      </c>
      <c r="E51" s="19" t="n">
        <f aca="false">E50+D51</f>
        <v>118</v>
      </c>
      <c r="F51" s="19" t="n">
        <f aca="false">E50</f>
        <v>118</v>
      </c>
      <c r="G51" s="19" t="n">
        <f aca="false">Assumptions!$B$17-F51</f>
        <v>0</v>
      </c>
      <c r="H51" s="60" t="n">
        <f aca="false">D51*Assumptions!$B$27/Assumptions!$B$17</f>
        <v>0</v>
      </c>
      <c r="I51" s="60" t="n">
        <f aca="false">D51*Assumptions!$B$28/Assumptions!$B$17</f>
        <v>0</v>
      </c>
      <c r="J51" s="30" t="n">
        <f aca="false">D51*Assumptions!$B$33</f>
        <v>0</v>
      </c>
      <c r="K51" s="30" t="n">
        <f aca="false">I51*Assumptions!$B$34</f>
        <v>0</v>
      </c>
      <c r="L51" s="30" t="n">
        <f aca="false">J51+K51</f>
        <v>0</v>
      </c>
      <c r="M51" s="61" t="n">
        <f aca="false">D51*Assumptions!$B$41/30/Assumptions!$B$17</f>
        <v>0</v>
      </c>
    </row>
    <row r="52" customFormat="false" ht="15" hidden="false" customHeight="false" outlineLevel="0" collapsed="false">
      <c r="A52" s="19" t="n">
        <v>47</v>
      </c>
      <c r="B52" s="31" t="n">
        <f aca="false">EDATE(Assumptions!$B$10,A52-1)</f>
        <v>47635</v>
      </c>
      <c r="C52" s="19" t="n">
        <f aca="false">ROUNDUP(A52/12,0)</f>
        <v>4</v>
      </c>
      <c r="D52" s="19" t="n">
        <f aca="false">IF(A52&lt;Assumptions!$B$31,0,MAX(0,MIN(Assumptions!$B$32,Assumptions!$B$17-E51)))</f>
        <v>0</v>
      </c>
      <c r="E52" s="19" t="n">
        <f aca="false">E51+D52</f>
        <v>118</v>
      </c>
      <c r="F52" s="19" t="n">
        <f aca="false">E51</f>
        <v>118</v>
      </c>
      <c r="G52" s="19" t="n">
        <f aca="false">Assumptions!$B$17-F52</f>
        <v>0</v>
      </c>
      <c r="H52" s="60" t="n">
        <f aca="false">D52*Assumptions!$B$27/Assumptions!$B$17</f>
        <v>0</v>
      </c>
      <c r="I52" s="60" t="n">
        <f aca="false">D52*Assumptions!$B$28/Assumptions!$B$17</f>
        <v>0</v>
      </c>
      <c r="J52" s="30" t="n">
        <f aca="false">D52*Assumptions!$B$33</f>
        <v>0</v>
      </c>
      <c r="K52" s="30" t="n">
        <f aca="false">I52*Assumptions!$B$34</f>
        <v>0</v>
      </c>
      <c r="L52" s="30" t="n">
        <f aca="false">J52+K52</f>
        <v>0</v>
      </c>
      <c r="M52" s="61" t="n">
        <f aca="false">D52*Assumptions!$B$41/30/Assumptions!$B$17</f>
        <v>0</v>
      </c>
    </row>
    <row r="53" customFormat="false" ht="15" hidden="false" customHeight="false" outlineLevel="0" collapsed="false">
      <c r="A53" s="19" t="n">
        <v>48</v>
      </c>
      <c r="B53" s="31" t="n">
        <f aca="false">EDATE(Assumptions!$B$10,A53-1)</f>
        <v>47665</v>
      </c>
      <c r="C53" s="19" t="n">
        <f aca="false">ROUNDUP(A53/12,0)</f>
        <v>4</v>
      </c>
      <c r="D53" s="19" t="n">
        <f aca="false">IF(A53&lt;Assumptions!$B$31,0,MAX(0,MIN(Assumptions!$B$32,Assumptions!$B$17-E52)))</f>
        <v>0</v>
      </c>
      <c r="E53" s="19" t="n">
        <f aca="false">E52+D53</f>
        <v>118</v>
      </c>
      <c r="F53" s="19" t="n">
        <f aca="false">E52</f>
        <v>118</v>
      </c>
      <c r="G53" s="19" t="n">
        <f aca="false">Assumptions!$B$17-F53</f>
        <v>0</v>
      </c>
      <c r="H53" s="60" t="n">
        <f aca="false">D53*Assumptions!$B$27/Assumptions!$B$17</f>
        <v>0</v>
      </c>
      <c r="I53" s="60" t="n">
        <f aca="false">D53*Assumptions!$B$28/Assumptions!$B$17</f>
        <v>0</v>
      </c>
      <c r="J53" s="30" t="n">
        <f aca="false">D53*Assumptions!$B$33</f>
        <v>0</v>
      </c>
      <c r="K53" s="30" t="n">
        <f aca="false">I53*Assumptions!$B$34</f>
        <v>0</v>
      </c>
      <c r="L53" s="30" t="n">
        <f aca="false">J53+K53</f>
        <v>0</v>
      </c>
      <c r="M53" s="61" t="n">
        <f aca="false">D53*Assumptions!$B$41/30/Assumptions!$B$17</f>
        <v>0</v>
      </c>
    </row>
    <row r="54" customFormat="false" ht="15" hidden="false" customHeight="false" outlineLevel="0" collapsed="false">
      <c r="A54" s="19" t="n">
        <v>49</v>
      </c>
      <c r="B54" s="31" t="n">
        <f aca="false">EDATE(Assumptions!$B$10,A54-1)</f>
        <v>47696</v>
      </c>
      <c r="C54" s="19" t="n">
        <f aca="false">ROUNDUP(A54/12,0)</f>
        <v>5</v>
      </c>
      <c r="D54" s="19" t="n">
        <f aca="false">IF(A54&lt;Assumptions!$B$31,0,MAX(0,MIN(Assumptions!$B$32,Assumptions!$B$17-E53)))</f>
        <v>0</v>
      </c>
      <c r="E54" s="19" t="n">
        <f aca="false">E53+D54</f>
        <v>118</v>
      </c>
      <c r="F54" s="19" t="n">
        <f aca="false">E53</f>
        <v>118</v>
      </c>
      <c r="G54" s="19" t="n">
        <f aca="false">Assumptions!$B$17-F54</f>
        <v>0</v>
      </c>
      <c r="H54" s="60" t="n">
        <f aca="false">D54*Assumptions!$B$27/Assumptions!$B$17</f>
        <v>0</v>
      </c>
      <c r="I54" s="60" t="n">
        <f aca="false">D54*Assumptions!$B$28/Assumptions!$B$17</f>
        <v>0</v>
      </c>
      <c r="J54" s="30" t="n">
        <f aca="false">D54*Assumptions!$B$33</f>
        <v>0</v>
      </c>
      <c r="K54" s="30" t="n">
        <f aca="false">I54*Assumptions!$B$34</f>
        <v>0</v>
      </c>
      <c r="L54" s="30" t="n">
        <f aca="false">J54+K54</f>
        <v>0</v>
      </c>
      <c r="M54" s="61" t="n">
        <f aca="false">D54*Assumptions!$B$41/30/Assumptions!$B$17</f>
        <v>0</v>
      </c>
    </row>
    <row r="55" customFormat="false" ht="15" hidden="false" customHeight="false" outlineLevel="0" collapsed="false">
      <c r="A55" s="19" t="n">
        <v>50</v>
      </c>
      <c r="B55" s="31" t="n">
        <f aca="false">EDATE(Assumptions!$B$10,A55-1)</f>
        <v>47727</v>
      </c>
      <c r="C55" s="19" t="n">
        <f aca="false">ROUNDUP(A55/12,0)</f>
        <v>5</v>
      </c>
      <c r="D55" s="19" t="n">
        <f aca="false">IF(A55&lt;Assumptions!$B$31,0,MAX(0,MIN(Assumptions!$B$32,Assumptions!$B$17-E54)))</f>
        <v>0</v>
      </c>
      <c r="E55" s="19" t="n">
        <f aca="false">E54+D55</f>
        <v>118</v>
      </c>
      <c r="F55" s="19" t="n">
        <f aca="false">E54</f>
        <v>118</v>
      </c>
      <c r="G55" s="19" t="n">
        <f aca="false">Assumptions!$B$17-F55</f>
        <v>0</v>
      </c>
      <c r="H55" s="60" t="n">
        <f aca="false">D55*Assumptions!$B$27/Assumptions!$B$17</f>
        <v>0</v>
      </c>
      <c r="I55" s="60" t="n">
        <f aca="false">D55*Assumptions!$B$28/Assumptions!$B$17</f>
        <v>0</v>
      </c>
      <c r="J55" s="30" t="n">
        <f aca="false">D55*Assumptions!$B$33</f>
        <v>0</v>
      </c>
      <c r="K55" s="30" t="n">
        <f aca="false">I55*Assumptions!$B$34</f>
        <v>0</v>
      </c>
      <c r="L55" s="30" t="n">
        <f aca="false">J55+K55</f>
        <v>0</v>
      </c>
      <c r="M55" s="61" t="n">
        <f aca="false">D55*Assumptions!$B$41/30/Assumptions!$B$17</f>
        <v>0</v>
      </c>
    </row>
    <row r="56" customFormat="false" ht="15" hidden="false" customHeight="false" outlineLevel="0" collapsed="false">
      <c r="A56" s="19" t="n">
        <v>51</v>
      </c>
      <c r="B56" s="31" t="n">
        <f aca="false">EDATE(Assumptions!$B$10,A56-1)</f>
        <v>47757</v>
      </c>
      <c r="C56" s="19" t="n">
        <f aca="false">ROUNDUP(A56/12,0)</f>
        <v>5</v>
      </c>
      <c r="D56" s="19" t="n">
        <f aca="false">IF(A56&lt;Assumptions!$B$31,0,MAX(0,MIN(Assumptions!$B$32,Assumptions!$B$17-E55)))</f>
        <v>0</v>
      </c>
      <c r="E56" s="19" t="n">
        <f aca="false">E55+D56</f>
        <v>118</v>
      </c>
      <c r="F56" s="19" t="n">
        <f aca="false">E55</f>
        <v>118</v>
      </c>
      <c r="G56" s="19" t="n">
        <f aca="false">Assumptions!$B$17-F56</f>
        <v>0</v>
      </c>
      <c r="H56" s="60" t="n">
        <f aca="false">D56*Assumptions!$B$27/Assumptions!$B$17</f>
        <v>0</v>
      </c>
      <c r="I56" s="60" t="n">
        <f aca="false">D56*Assumptions!$B$28/Assumptions!$B$17</f>
        <v>0</v>
      </c>
      <c r="J56" s="30" t="n">
        <f aca="false">D56*Assumptions!$B$33</f>
        <v>0</v>
      </c>
      <c r="K56" s="30" t="n">
        <f aca="false">I56*Assumptions!$B$34</f>
        <v>0</v>
      </c>
      <c r="L56" s="30" t="n">
        <f aca="false">J56+K56</f>
        <v>0</v>
      </c>
      <c r="M56" s="61" t="n">
        <f aca="false">D56*Assumptions!$B$41/30/Assumptions!$B$17</f>
        <v>0</v>
      </c>
    </row>
    <row r="57" customFormat="false" ht="15" hidden="false" customHeight="false" outlineLevel="0" collapsed="false">
      <c r="A57" s="19" t="n">
        <v>52</v>
      </c>
      <c r="B57" s="31" t="n">
        <f aca="false">EDATE(Assumptions!$B$10,A57-1)</f>
        <v>47788</v>
      </c>
      <c r="C57" s="19" t="n">
        <f aca="false">ROUNDUP(A57/12,0)</f>
        <v>5</v>
      </c>
      <c r="D57" s="19" t="n">
        <f aca="false">IF(A57&lt;Assumptions!$B$31,0,MAX(0,MIN(Assumptions!$B$32,Assumptions!$B$17-E56)))</f>
        <v>0</v>
      </c>
      <c r="E57" s="19" t="n">
        <f aca="false">E56+D57</f>
        <v>118</v>
      </c>
      <c r="F57" s="19" t="n">
        <f aca="false">E56</f>
        <v>118</v>
      </c>
      <c r="G57" s="19" t="n">
        <f aca="false">Assumptions!$B$17-F57</f>
        <v>0</v>
      </c>
      <c r="H57" s="60" t="n">
        <f aca="false">D57*Assumptions!$B$27/Assumptions!$B$17</f>
        <v>0</v>
      </c>
      <c r="I57" s="60" t="n">
        <f aca="false">D57*Assumptions!$B$28/Assumptions!$B$17</f>
        <v>0</v>
      </c>
      <c r="J57" s="30" t="n">
        <f aca="false">D57*Assumptions!$B$33</f>
        <v>0</v>
      </c>
      <c r="K57" s="30" t="n">
        <f aca="false">I57*Assumptions!$B$34</f>
        <v>0</v>
      </c>
      <c r="L57" s="30" t="n">
        <f aca="false">J57+K57</f>
        <v>0</v>
      </c>
      <c r="M57" s="61" t="n">
        <f aca="false">D57*Assumptions!$B$41/30/Assumptions!$B$17</f>
        <v>0</v>
      </c>
    </row>
    <row r="58" customFormat="false" ht="15" hidden="false" customHeight="false" outlineLevel="0" collapsed="false">
      <c r="A58" s="19" t="n">
        <v>53</v>
      </c>
      <c r="B58" s="31" t="n">
        <f aca="false">EDATE(Assumptions!$B$10,A58-1)</f>
        <v>47818</v>
      </c>
      <c r="C58" s="19" t="n">
        <f aca="false">ROUNDUP(A58/12,0)</f>
        <v>5</v>
      </c>
      <c r="D58" s="19" t="n">
        <f aca="false">IF(A58&lt;Assumptions!$B$31,0,MAX(0,MIN(Assumptions!$B$32,Assumptions!$B$17-E57)))</f>
        <v>0</v>
      </c>
      <c r="E58" s="19" t="n">
        <f aca="false">E57+D58</f>
        <v>118</v>
      </c>
      <c r="F58" s="19" t="n">
        <f aca="false">E57</f>
        <v>118</v>
      </c>
      <c r="G58" s="19" t="n">
        <f aca="false">Assumptions!$B$17-F58</f>
        <v>0</v>
      </c>
      <c r="H58" s="60" t="n">
        <f aca="false">D58*Assumptions!$B$27/Assumptions!$B$17</f>
        <v>0</v>
      </c>
      <c r="I58" s="60" t="n">
        <f aca="false">D58*Assumptions!$B$28/Assumptions!$B$17</f>
        <v>0</v>
      </c>
      <c r="J58" s="30" t="n">
        <f aca="false">D58*Assumptions!$B$33</f>
        <v>0</v>
      </c>
      <c r="K58" s="30" t="n">
        <f aca="false">I58*Assumptions!$B$34</f>
        <v>0</v>
      </c>
      <c r="L58" s="30" t="n">
        <f aca="false">J58+K58</f>
        <v>0</v>
      </c>
      <c r="M58" s="61" t="n">
        <f aca="false">D58*Assumptions!$B$41/30/Assumptions!$B$17</f>
        <v>0</v>
      </c>
    </row>
    <row r="59" customFormat="false" ht="15" hidden="false" customHeight="false" outlineLevel="0" collapsed="false">
      <c r="A59" s="19" t="n">
        <v>54</v>
      </c>
      <c r="B59" s="31" t="n">
        <f aca="false">EDATE(Assumptions!$B$10,A59-1)</f>
        <v>47849</v>
      </c>
      <c r="C59" s="19" t="n">
        <f aca="false">ROUNDUP(A59/12,0)</f>
        <v>5</v>
      </c>
      <c r="D59" s="19" t="n">
        <f aca="false">IF(A59&lt;Assumptions!$B$31,0,MAX(0,MIN(Assumptions!$B$32,Assumptions!$B$17-E58)))</f>
        <v>0</v>
      </c>
      <c r="E59" s="19" t="n">
        <f aca="false">E58+D59</f>
        <v>118</v>
      </c>
      <c r="F59" s="19" t="n">
        <f aca="false">E58</f>
        <v>118</v>
      </c>
      <c r="G59" s="19" t="n">
        <f aca="false">Assumptions!$B$17-F59</f>
        <v>0</v>
      </c>
      <c r="H59" s="60" t="n">
        <f aca="false">D59*Assumptions!$B$27/Assumptions!$B$17</f>
        <v>0</v>
      </c>
      <c r="I59" s="60" t="n">
        <f aca="false">D59*Assumptions!$B$28/Assumptions!$B$17</f>
        <v>0</v>
      </c>
      <c r="J59" s="30" t="n">
        <f aca="false">D59*Assumptions!$B$33</f>
        <v>0</v>
      </c>
      <c r="K59" s="30" t="n">
        <f aca="false">I59*Assumptions!$B$34</f>
        <v>0</v>
      </c>
      <c r="L59" s="30" t="n">
        <f aca="false">J59+K59</f>
        <v>0</v>
      </c>
      <c r="M59" s="61" t="n">
        <f aca="false">D59*Assumptions!$B$41/30/Assumptions!$B$17</f>
        <v>0</v>
      </c>
    </row>
    <row r="60" customFormat="false" ht="15" hidden="false" customHeight="false" outlineLevel="0" collapsed="false">
      <c r="A60" s="19" t="n">
        <v>55</v>
      </c>
      <c r="B60" s="31" t="n">
        <f aca="false">EDATE(Assumptions!$B$10,A60-1)</f>
        <v>47880</v>
      </c>
      <c r="C60" s="19" t="n">
        <f aca="false">ROUNDUP(A60/12,0)</f>
        <v>5</v>
      </c>
      <c r="D60" s="19" t="n">
        <f aca="false">IF(A60&lt;Assumptions!$B$31,0,MAX(0,MIN(Assumptions!$B$32,Assumptions!$B$17-E59)))</f>
        <v>0</v>
      </c>
      <c r="E60" s="19" t="n">
        <f aca="false">E59+D60</f>
        <v>118</v>
      </c>
      <c r="F60" s="19" t="n">
        <f aca="false">E59</f>
        <v>118</v>
      </c>
      <c r="G60" s="19" t="n">
        <f aca="false">Assumptions!$B$17-F60</f>
        <v>0</v>
      </c>
      <c r="H60" s="60" t="n">
        <f aca="false">D60*Assumptions!$B$27/Assumptions!$B$17</f>
        <v>0</v>
      </c>
      <c r="I60" s="60" t="n">
        <f aca="false">D60*Assumptions!$B$28/Assumptions!$B$17</f>
        <v>0</v>
      </c>
      <c r="J60" s="30" t="n">
        <f aca="false">D60*Assumptions!$B$33</f>
        <v>0</v>
      </c>
      <c r="K60" s="30" t="n">
        <f aca="false">I60*Assumptions!$B$34</f>
        <v>0</v>
      </c>
      <c r="L60" s="30" t="n">
        <f aca="false">J60+K60</f>
        <v>0</v>
      </c>
      <c r="M60" s="61" t="n">
        <f aca="false">D60*Assumptions!$B$41/30/Assumptions!$B$17</f>
        <v>0</v>
      </c>
    </row>
    <row r="61" customFormat="false" ht="15" hidden="false" customHeight="false" outlineLevel="0" collapsed="false">
      <c r="A61" s="19" t="n">
        <v>56</v>
      </c>
      <c r="B61" s="31" t="n">
        <f aca="false">EDATE(Assumptions!$B$10,A61-1)</f>
        <v>47908</v>
      </c>
      <c r="C61" s="19" t="n">
        <f aca="false">ROUNDUP(A61/12,0)</f>
        <v>5</v>
      </c>
      <c r="D61" s="19" t="n">
        <f aca="false">IF(A61&lt;Assumptions!$B$31,0,MAX(0,MIN(Assumptions!$B$32,Assumptions!$B$17-E60)))</f>
        <v>0</v>
      </c>
      <c r="E61" s="19" t="n">
        <f aca="false">E60+D61</f>
        <v>118</v>
      </c>
      <c r="F61" s="19" t="n">
        <f aca="false">E60</f>
        <v>118</v>
      </c>
      <c r="G61" s="19" t="n">
        <f aca="false">Assumptions!$B$17-F61</f>
        <v>0</v>
      </c>
      <c r="H61" s="60" t="n">
        <f aca="false">D61*Assumptions!$B$27/Assumptions!$B$17</f>
        <v>0</v>
      </c>
      <c r="I61" s="60" t="n">
        <f aca="false">D61*Assumptions!$B$28/Assumptions!$B$17</f>
        <v>0</v>
      </c>
      <c r="J61" s="30" t="n">
        <f aca="false">D61*Assumptions!$B$33</f>
        <v>0</v>
      </c>
      <c r="K61" s="30" t="n">
        <f aca="false">I61*Assumptions!$B$34</f>
        <v>0</v>
      </c>
      <c r="L61" s="30" t="n">
        <f aca="false">J61+K61</f>
        <v>0</v>
      </c>
      <c r="M61" s="61" t="n">
        <f aca="false">D61*Assumptions!$B$41/30/Assumptions!$B$17</f>
        <v>0</v>
      </c>
    </row>
    <row r="62" customFormat="false" ht="15" hidden="false" customHeight="false" outlineLevel="0" collapsed="false">
      <c r="A62" s="19" t="n">
        <v>57</v>
      </c>
      <c r="B62" s="31" t="n">
        <f aca="false">EDATE(Assumptions!$B$10,A62-1)</f>
        <v>47939</v>
      </c>
      <c r="C62" s="19" t="n">
        <f aca="false">ROUNDUP(A62/12,0)</f>
        <v>5</v>
      </c>
      <c r="D62" s="19" t="n">
        <f aca="false">IF(A62&lt;Assumptions!$B$31,0,MAX(0,MIN(Assumptions!$B$32,Assumptions!$B$17-E61)))</f>
        <v>0</v>
      </c>
      <c r="E62" s="19" t="n">
        <f aca="false">E61+D62</f>
        <v>118</v>
      </c>
      <c r="F62" s="19" t="n">
        <f aca="false">E61</f>
        <v>118</v>
      </c>
      <c r="G62" s="19" t="n">
        <f aca="false">Assumptions!$B$17-F62</f>
        <v>0</v>
      </c>
      <c r="H62" s="60" t="n">
        <f aca="false">D62*Assumptions!$B$27/Assumptions!$B$17</f>
        <v>0</v>
      </c>
      <c r="I62" s="60" t="n">
        <f aca="false">D62*Assumptions!$B$28/Assumptions!$B$17</f>
        <v>0</v>
      </c>
      <c r="J62" s="30" t="n">
        <f aca="false">D62*Assumptions!$B$33</f>
        <v>0</v>
      </c>
      <c r="K62" s="30" t="n">
        <f aca="false">I62*Assumptions!$B$34</f>
        <v>0</v>
      </c>
      <c r="L62" s="30" t="n">
        <f aca="false">J62+K62</f>
        <v>0</v>
      </c>
      <c r="M62" s="61" t="n">
        <f aca="false">D62*Assumptions!$B$41/30/Assumptions!$B$17</f>
        <v>0</v>
      </c>
    </row>
    <row r="63" customFormat="false" ht="15" hidden="false" customHeight="false" outlineLevel="0" collapsed="false">
      <c r="A63" s="19" t="n">
        <v>58</v>
      </c>
      <c r="B63" s="31" t="n">
        <f aca="false">EDATE(Assumptions!$B$10,A63-1)</f>
        <v>47969</v>
      </c>
      <c r="C63" s="19" t="n">
        <f aca="false">ROUNDUP(A63/12,0)</f>
        <v>5</v>
      </c>
      <c r="D63" s="19" t="n">
        <f aca="false">IF(A63&lt;Assumptions!$B$31,0,MAX(0,MIN(Assumptions!$B$32,Assumptions!$B$17-E62)))</f>
        <v>0</v>
      </c>
      <c r="E63" s="19" t="n">
        <f aca="false">E62+D63</f>
        <v>118</v>
      </c>
      <c r="F63" s="19" t="n">
        <f aca="false">E62</f>
        <v>118</v>
      </c>
      <c r="G63" s="19" t="n">
        <f aca="false">Assumptions!$B$17-F63</f>
        <v>0</v>
      </c>
      <c r="H63" s="60" t="n">
        <f aca="false">D63*Assumptions!$B$27/Assumptions!$B$17</f>
        <v>0</v>
      </c>
      <c r="I63" s="60" t="n">
        <f aca="false">D63*Assumptions!$B$28/Assumptions!$B$17</f>
        <v>0</v>
      </c>
      <c r="J63" s="30" t="n">
        <f aca="false">D63*Assumptions!$B$33</f>
        <v>0</v>
      </c>
      <c r="K63" s="30" t="n">
        <f aca="false">I63*Assumptions!$B$34</f>
        <v>0</v>
      </c>
      <c r="L63" s="30" t="n">
        <f aca="false">J63+K63</f>
        <v>0</v>
      </c>
      <c r="M63" s="61" t="n">
        <f aca="false">D63*Assumptions!$B$41/30/Assumptions!$B$17</f>
        <v>0</v>
      </c>
    </row>
    <row r="64" customFormat="false" ht="15" hidden="false" customHeight="false" outlineLevel="0" collapsed="false">
      <c r="A64" s="19" t="n">
        <v>59</v>
      </c>
      <c r="B64" s="31" t="n">
        <f aca="false">EDATE(Assumptions!$B$10,A64-1)</f>
        <v>48000</v>
      </c>
      <c r="C64" s="19" t="n">
        <f aca="false">ROUNDUP(A64/12,0)</f>
        <v>5</v>
      </c>
      <c r="D64" s="19" t="n">
        <f aca="false">IF(A64&lt;Assumptions!$B$31,0,MAX(0,MIN(Assumptions!$B$32,Assumptions!$B$17-E63)))</f>
        <v>0</v>
      </c>
      <c r="E64" s="19" t="n">
        <f aca="false">E63+D64</f>
        <v>118</v>
      </c>
      <c r="F64" s="19" t="n">
        <f aca="false">E63</f>
        <v>118</v>
      </c>
      <c r="G64" s="19" t="n">
        <f aca="false">Assumptions!$B$17-F64</f>
        <v>0</v>
      </c>
      <c r="H64" s="60" t="n">
        <f aca="false">D64*Assumptions!$B$27/Assumptions!$B$17</f>
        <v>0</v>
      </c>
      <c r="I64" s="60" t="n">
        <f aca="false">D64*Assumptions!$B$28/Assumptions!$B$17</f>
        <v>0</v>
      </c>
      <c r="J64" s="30" t="n">
        <f aca="false">D64*Assumptions!$B$33</f>
        <v>0</v>
      </c>
      <c r="K64" s="30" t="n">
        <f aca="false">I64*Assumptions!$B$34</f>
        <v>0</v>
      </c>
      <c r="L64" s="30" t="n">
        <f aca="false">J64+K64</f>
        <v>0</v>
      </c>
      <c r="M64" s="61" t="n">
        <f aca="false">D64*Assumptions!$B$41/30/Assumptions!$B$17</f>
        <v>0</v>
      </c>
    </row>
    <row r="65" customFormat="false" ht="15" hidden="false" customHeight="false" outlineLevel="0" collapsed="false">
      <c r="A65" s="19" t="n">
        <v>60</v>
      </c>
      <c r="B65" s="31" t="n">
        <f aca="false">EDATE(Assumptions!$B$10,A65-1)</f>
        <v>48030</v>
      </c>
      <c r="C65" s="19" t="n">
        <f aca="false">ROUNDUP(A65/12,0)</f>
        <v>5</v>
      </c>
      <c r="D65" s="19" t="n">
        <f aca="false">IF(A65&lt;Assumptions!$B$31,0,MAX(0,MIN(Assumptions!$B$32,Assumptions!$B$17-E64)))</f>
        <v>0</v>
      </c>
      <c r="E65" s="19" t="n">
        <f aca="false">E64+D65</f>
        <v>118</v>
      </c>
      <c r="F65" s="19" t="n">
        <f aca="false">E64</f>
        <v>118</v>
      </c>
      <c r="G65" s="19" t="n">
        <f aca="false">Assumptions!$B$17-F65</f>
        <v>0</v>
      </c>
      <c r="H65" s="60" t="n">
        <f aca="false">D65*Assumptions!$B$27/Assumptions!$B$17</f>
        <v>0</v>
      </c>
      <c r="I65" s="60" t="n">
        <f aca="false">D65*Assumptions!$B$28/Assumptions!$B$17</f>
        <v>0</v>
      </c>
      <c r="J65" s="30" t="n">
        <f aca="false">D65*Assumptions!$B$33</f>
        <v>0</v>
      </c>
      <c r="K65" s="30" t="n">
        <f aca="false">I65*Assumptions!$B$34</f>
        <v>0</v>
      </c>
      <c r="L65" s="30" t="n">
        <f aca="false">J65+K65</f>
        <v>0</v>
      </c>
      <c r="M65" s="61" t="n">
        <f aca="false">D65*Assumptions!$B$41/30/Assumptions!$B$17</f>
        <v>0</v>
      </c>
    </row>
    <row r="66" customFormat="false" ht="15" hidden="false" customHeight="false" outlineLevel="0" collapsed="false">
      <c r="A66" s="34" t="s">
        <v>524</v>
      </c>
      <c r="D66" s="62" t="n">
        <f aca="false">SUM(D6:D65)</f>
        <v>118</v>
      </c>
      <c r="H66" s="62" t="n">
        <f aca="false">SUM(H6:H65)</f>
        <v>53</v>
      </c>
      <c r="I66" s="62" t="n">
        <f aca="false">SUM(I6:I65)</f>
        <v>65</v>
      </c>
      <c r="J66" s="37" t="n">
        <f aca="false">SUM(J6:J65)</f>
        <v>1534000</v>
      </c>
      <c r="K66" s="37" t="n">
        <f aca="false">SUM(K6:K65)</f>
        <v>325000</v>
      </c>
      <c r="L66" s="37" t="n">
        <f aca="false">SUM(L6:L65)</f>
        <v>1859000</v>
      </c>
    </row>
    <row r="68" customFormat="false" ht="15" hidden="false" customHeight="false" outlineLevel="0" collapsed="false">
      <c r="A68" s="7" t="s">
        <v>525</v>
      </c>
      <c r="C68" s="25" t="s">
        <v>132</v>
      </c>
      <c r="D68" s="25" t="s">
        <v>133</v>
      </c>
      <c r="E68" s="25" t="s">
        <v>134</v>
      </c>
      <c r="F68" s="25" t="s">
        <v>135</v>
      </c>
      <c r="G68" s="25" t="s">
        <v>136</v>
      </c>
    </row>
    <row r="69" customFormat="false" ht="15" hidden="false" customHeight="false" outlineLevel="0" collapsed="false">
      <c r="A69" s="9" t="s">
        <v>526</v>
      </c>
      <c r="C69" s="19" t="n">
        <f aca="false">SUMIFS($D$6:$D$65,$C$6:$C$65,1)</f>
        <v>50</v>
      </c>
      <c r="D69" s="19" t="n">
        <f aca="false">SUMIFS($D$6:$D$65,$C$6:$C$65,2)</f>
        <v>60</v>
      </c>
      <c r="E69" s="19" t="n">
        <f aca="false">SUMIFS($D$6:$D$65,$C$6:$C$65,3)</f>
        <v>8</v>
      </c>
      <c r="F69" s="19" t="n">
        <f aca="false">SUMIFS($D$6:$D$65,$C$6:$C$65,4)</f>
        <v>0</v>
      </c>
      <c r="G69" s="19" t="n">
        <f aca="false">SUMIFS($D$6:$D$65,$C$6:$C$65,5)</f>
        <v>0</v>
      </c>
    </row>
    <row r="70" customFormat="false" ht="15" hidden="false" customHeight="false" outlineLevel="0" collapsed="false">
      <c r="A70" s="9" t="s">
        <v>527</v>
      </c>
      <c r="C70" s="19" t="n">
        <f aca="false">SUMIFS($D$6:$D$65,$C$6:$C$65,"&lt;="&amp;1)</f>
        <v>50</v>
      </c>
      <c r="D70" s="19" t="n">
        <f aca="false">SUMIFS($D$6:$D$65,$C$6:$C$65,"&lt;="&amp;2)</f>
        <v>110</v>
      </c>
      <c r="E70" s="19" t="n">
        <f aca="false">SUMIFS($D$6:$D$65,$C$6:$C$65,"&lt;="&amp;3)</f>
        <v>118</v>
      </c>
      <c r="F70" s="19" t="n">
        <f aca="false">SUMIFS($D$6:$D$65,$C$6:$C$65,"&lt;="&amp;4)</f>
        <v>118</v>
      </c>
      <c r="G70" s="19" t="n">
        <f aca="false">SUMIFS($D$6:$D$65,$C$6:$C$65,"&lt;="&amp;5)</f>
        <v>118</v>
      </c>
    </row>
    <row r="71" customFormat="false" ht="15" hidden="false" customHeight="false" outlineLevel="0" collapsed="false">
      <c r="A71" s="9" t="s">
        <v>528</v>
      </c>
      <c r="C71" s="60" t="n">
        <f aca="false">AVERAGEIFS($F$6:$F$65,$C$6:$C$65,1)</f>
        <v>18.75</v>
      </c>
      <c r="D71" s="60" t="n">
        <f aca="false">AVERAGEIFS($F$6:$F$65,$C$6:$C$65,2)</f>
        <v>77.5</v>
      </c>
      <c r="E71" s="60" t="n">
        <f aca="false">AVERAGEIFS($F$6:$F$65,$C$6:$C$65,3)</f>
        <v>117.083333333333</v>
      </c>
      <c r="F71" s="60" t="n">
        <f aca="false">AVERAGEIFS($F$6:$F$65,$C$6:$C$65,4)</f>
        <v>118</v>
      </c>
      <c r="G71" s="60" t="n">
        <f aca="false">AVERAGEIFS($F$6:$F$65,$C$6:$C$65,5)</f>
        <v>118</v>
      </c>
    </row>
    <row r="72" customFormat="false" ht="15" hidden="false" customHeight="false" outlineLevel="0" collapsed="false">
      <c r="A72" s="9" t="s">
        <v>529</v>
      </c>
      <c r="C72" s="60" t="n">
        <f aca="false">AVERAGEIFS($G$6:$G$65,$C$6:$C$65,1)</f>
        <v>99.25</v>
      </c>
      <c r="D72" s="60" t="n">
        <f aca="false">AVERAGEIFS($G$6:$G$65,$C$6:$C$65,2)</f>
        <v>40.5</v>
      </c>
      <c r="E72" s="60" t="n">
        <f aca="false">AVERAGEIFS($G$6:$G$65,$C$6:$C$65,3)</f>
        <v>0.916666666666667</v>
      </c>
      <c r="F72" s="60" t="n">
        <f aca="false">AVERAGEIFS($G$6:$G$65,$C$6:$C$65,4)</f>
        <v>0</v>
      </c>
      <c r="G72" s="60" t="n">
        <f aca="false">AVERAGEIFS($G$6:$G$65,$C$6:$C$65,5)</f>
        <v>0</v>
      </c>
    </row>
    <row r="73" customFormat="false" ht="15" hidden="false" customHeight="false" outlineLevel="0" collapsed="false">
      <c r="A73" s="9" t="s">
        <v>530</v>
      </c>
      <c r="C73" s="12" t="n">
        <f aca="false">SUMIFS($L$6:$L$65,$C$6:$C$65,1)</f>
        <v>787711.86440678</v>
      </c>
      <c r="D73" s="12" t="n">
        <f aca="false">SUMIFS($L$6:$L$65,$C$6:$C$65,2)</f>
        <v>945254.237288136</v>
      </c>
      <c r="E73" s="12" t="n">
        <f aca="false">SUMIFS($L$6:$L$65,$C$6:$C$65,3)</f>
        <v>126033.898305085</v>
      </c>
      <c r="F73" s="12" t="n">
        <f aca="false">SUMIFS($L$6:$L$65,$C$6:$C$65,4)</f>
        <v>0</v>
      </c>
      <c r="G73" s="12" t="n">
        <f aca="false">SUMIFS($L$6:$L$65,$C$6:$C$65,5)</f>
        <v>0</v>
      </c>
    </row>
    <row r="74" customFormat="false" ht="15" hidden="false" customHeight="false" outlineLevel="0" collapsed="false">
      <c r="A74" s="9" t="s">
        <v>531</v>
      </c>
      <c r="C74" s="63" t="n">
        <f aca="false">AVERAGEIFS($M$6:$M$65,$C$6:$C$65,1)</f>
        <v>0.0164783427495292</v>
      </c>
      <c r="D74" s="63" t="n">
        <f aca="false">AVERAGEIFS($M$6:$M$65,$C$6:$C$65,2)</f>
        <v>0.019774011299435</v>
      </c>
      <c r="E74" s="63" t="n">
        <f aca="false">AVERAGEIFS($M$6:$M$65,$C$6:$C$65,3)</f>
        <v>0.00263653483992467</v>
      </c>
      <c r="F74" s="63" t="n">
        <f aca="false">AVERAGEIFS($M$6:$M$65,$C$6:$C$65,4)</f>
        <v>0</v>
      </c>
      <c r="G74" s="63" t="n">
        <f aca="false">AVERAGEIFS($M$6:$M$65,$C$6:$C$65,5)</f>
        <v>0</v>
      </c>
    </row>
    <row r="76" customFormat="false" ht="15" hidden="false" customHeight="false" outlineLevel="0" collapsed="false">
      <c r="A76" s="38" t="s">
        <v>532</v>
      </c>
      <c r="B76" s="38"/>
      <c r="C76" s="38"/>
      <c r="D76" s="38"/>
      <c r="E76" s="38"/>
      <c r="F76" s="38"/>
      <c r="G76" s="38"/>
      <c r="H76" s="38"/>
      <c r="I76" s="38"/>
      <c r="J76" s="38"/>
      <c r="K76" s="38"/>
      <c r="L76" s="38"/>
      <c r="M76" s="38"/>
    </row>
  </sheetData>
  <mergeCells count="1">
    <mergeCell ref="A76:M76"/>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8" min="3" style="0" width="14"/>
  </cols>
  <sheetData>
    <row r="1" customFormat="false" ht="17.35" hidden="false" customHeight="false" outlineLevel="0" collapsed="false">
      <c r="A1" s="1" t="s">
        <v>0</v>
      </c>
    </row>
    <row r="2" customFormat="false" ht="15" hidden="false" customHeight="false" outlineLevel="0" collapsed="false">
      <c r="A2" s="2" t="s">
        <v>533</v>
      </c>
    </row>
    <row r="3" customFormat="false" ht="15" hidden="false" customHeight="false" outlineLevel="0" collapsed="false">
      <c r="A3" s="3" t="s">
        <v>2</v>
      </c>
    </row>
    <row r="5" customFormat="false" ht="23.85" hidden="false" customHeight="false" outlineLevel="0" collapsed="false">
      <c r="A5" s="5"/>
      <c r="B5" s="7" t="s">
        <v>151</v>
      </c>
      <c r="C5" s="25" t="s">
        <v>132</v>
      </c>
      <c r="D5" s="25" t="s">
        <v>133</v>
      </c>
      <c r="E5" s="25" t="s">
        <v>134</v>
      </c>
      <c r="F5" s="25" t="s">
        <v>135</v>
      </c>
      <c r="G5" s="25" t="s">
        <v>136</v>
      </c>
      <c r="H5" s="64" t="s">
        <v>534</v>
      </c>
    </row>
    <row r="6" customFormat="false" ht="15" hidden="false" customHeight="false" outlineLevel="0" collapsed="false">
      <c r="A6" s="3" t="s">
        <v>535</v>
      </c>
      <c r="C6" s="65" t="n">
        <f aca="false">EDATE(Assumptions!$B$10,12-1)</f>
        <v>46569</v>
      </c>
      <c r="D6" s="65" t="n">
        <f aca="false">EDATE(Assumptions!$B$10,24-1)</f>
        <v>46935</v>
      </c>
      <c r="E6" s="65" t="n">
        <f aca="false">EDATE(Assumptions!$B$10,36-1)</f>
        <v>47300</v>
      </c>
      <c r="F6" s="65" t="n">
        <f aca="false">EDATE(Assumptions!$B$10,48-1)</f>
        <v>47665</v>
      </c>
      <c r="G6" s="65" t="n">
        <f aca="false">EDATE(Assumptions!$B$10,60-1)</f>
        <v>48030</v>
      </c>
      <c r="H6" s="65" t="n">
        <f aca="false">EDATE(Assumptions!$B$10,72-1)</f>
        <v>48396</v>
      </c>
    </row>
    <row r="7" customFormat="false" ht="15" hidden="false" customHeight="false" outlineLevel="0" collapsed="false">
      <c r="A7" s="4" t="s">
        <v>536</v>
      </c>
      <c r="B7" s="4"/>
      <c r="C7" s="4"/>
      <c r="D7" s="4"/>
      <c r="E7" s="4"/>
      <c r="F7" s="4"/>
      <c r="G7" s="4"/>
      <c r="H7" s="4"/>
    </row>
    <row r="8" customFormat="false" ht="15" hidden="false" customHeight="false" outlineLevel="0" collapsed="false">
      <c r="A8" s="9" t="s">
        <v>137</v>
      </c>
      <c r="B8" s="11" t="s">
        <v>15</v>
      </c>
      <c r="C8" s="66" t="n">
        <f aca="false">Assumptions!C$46</f>
        <v>0.03</v>
      </c>
      <c r="D8" s="66" t="n">
        <f aca="false">Assumptions!D$46</f>
        <v>0.03</v>
      </c>
      <c r="E8" s="66" t="n">
        <f aca="false">Assumptions!E$46</f>
        <v>0.03</v>
      </c>
      <c r="F8" s="66" t="n">
        <f aca="false">Assumptions!F$46</f>
        <v>0.03</v>
      </c>
      <c r="G8" s="66" t="n">
        <f aca="false">Assumptions!G$46</f>
        <v>0.03</v>
      </c>
      <c r="H8" s="66" t="n">
        <f aca="false">Assumptions!G$46</f>
        <v>0.03</v>
      </c>
    </row>
    <row r="9" customFormat="false" ht="15" hidden="false" customHeight="false" outlineLevel="0" collapsed="false">
      <c r="A9" s="9" t="s">
        <v>537</v>
      </c>
      <c r="B9" s="11" t="s">
        <v>538</v>
      </c>
      <c r="C9" s="67" t="n">
        <f aca="false">1*(1+C8)</f>
        <v>1.03</v>
      </c>
      <c r="D9" s="67" t="n">
        <f aca="false">C9*(1+D8)</f>
        <v>1.0609</v>
      </c>
      <c r="E9" s="67" t="n">
        <f aca="false">D9*(1+E8)</f>
        <v>1.092727</v>
      </c>
      <c r="F9" s="67" t="n">
        <f aca="false">E9*(1+F8)</f>
        <v>1.12550881</v>
      </c>
      <c r="G9" s="67" t="n">
        <f aca="false">F9*(1+G8)</f>
        <v>1.1592740743</v>
      </c>
      <c r="H9" s="67" t="n">
        <f aca="false">G9*(1+H8)</f>
        <v>1.194052296529</v>
      </c>
    </row>
    <row r="10" customFormat="false" ht="15" hidden="false" customHeight="false" outlineLevel="0" collapsed="false">
      <c r="A10" s="9" t="s">
        <v>539</v>
      </c>
      <c r="B10" s="11" t="s">
        <v>540</v>
      </c>
      <c r="C10" s="67" t="n">
        <f aca="false">SQRT(1*C9)</f>
        <v>1.01488915650922</v>
      </c>
      <c r="D10" s="67" t="n">
        <f aca="false">SQRT(C9*D9)</f>
        <v>1.0453358312045</v>
      </c>
      <c r="E10" s="67" t="n">
        <f aca="false">SQRT(D9*E9)</f>
        <v>1.07669590614063</v>
      </c>
      <c r="F10" s="67" t="n">
        <f aca="false">SQRT(E9*F9)</f>
        <v>1.10899678332485</v>
      </c>
      <c r="G10" s="67" t="n">
        <f aca="false">SQRT(F9*G9)</f>
        <v>1.1422666868246</v>
      </c>
      <c r="H10" s="67" t="n">
        <f aca="false">SQRT(G9*H9)</f>
        <v>1.17653468742934</v>
      </c>
    </row>
    <row r="12" customFormat="false" ht="15" hidden="false" customHeight="false" outlineLevel="0" collapsed="false">
      <c r="A12" s="4" t="s">
        <v>541</v>
      </c>
      <c r="B12" s="4"/>
      <c r="C12" s="4"/>
      <c r="D12" s="4"/>
      <c r="E12" s="4"/>
      <c r="F12" s="4"/>
      <c r="G12" s="4"/>
      <c r="H12" s="4"/>
    </row>
    <row r="13" customFormat="false" ht="15" hidden="false" customHeight="false" outlineLevel="0" collapsed="false">
      <c r="A13" s="9" t="s">
        <v>529</v>
      </c>
      <c r="B13" s="11" t="s">
        <v>27</v>
      </c>
      <c r="C13" s="68" t="n">
        <f aca="false">'Reno Schedule'!C$72</f>
        <v>99.25</v>
      </c>
      <c r="D13" s="68" t="n">
        <f aca="false">'Reno Schedule'!D$72</f>
        <v>40.5</v>
      </c>
      <c r="E13" s="68" t="n">
        <f aca="false">'Reno Schedule'!E$72</f>
        <v>0.916666666666667</v>
      </c>
      <c r="F13" s="68" t="n">
        <f aca="false">'Reno Schedule'!F$72</f>
        <v>0</v>
      </c>
      <c r="G13" s="68" t="n">
        <f aca="false">'Reno Schedule'!G$72</f>
        <v>0</v>
      </c>
      <c r="H13" s="68" t="n">
        <f aca="false">0</f>
        <v>0</v>
      </c>
    </row>
    <row r="14" customFormat="false" ht="15" hidden="false" customHeight="false" outlineLevel="0" collapsed="false">
      <c r="A14" s="9" t="s">
        <v>542</v>
      </c>
      <c r="B14" s="11" t="s">
        <v>27</v>
      </c>
      <c r="C14" s="68" t="n">
        <f aca="false">'Reno Schedule'!C$71</f>
        <v>18.75</v>
      </c>
      <c r="D14" s="68" t="n">
        <f aca="false">'Reno Schedule'!D$71</f>
        <v>77.5</v>
      </c>
      <c r="E14" s="68" t="n">
        <f aca="false">'Reno Schedule'!E$71</f>
        <v>117.083333333333</v>
      </c>
      <c r="F14" s="68" t="n">
        <f aca="false">'Reno Schedule'!F$71</f>
        <v>118</v>
      </c>
      <c r="G14" s="68" t="n">
        <f aca="false">'Reno Schedule'!G$71</f>
        <v>118</v>
      </c>
      <c r="H14" s="68" t="n">
        <f aca="false">Assumptions!$B$17</f>
        <v>118</v>
      </c>
    </row>
    <row r="15" customFormat="false" ht="15" hidden="false" customHeight="false" outlineLevel="0" collapsed="false">
      <c r="A15" s="9" t="s">
        <v>543</v>
      </c>
      <c r="B15" s="11" t="s">
        <v>27</v>
      </c>
      <c r="C15" s="69" t="n">
        <f aca="false">'Reno Schedule'!C$69</f>
        <v>50</v>
      </c>
      <c r="D15" s="69" t="n">
        <f aca="false">'Reno Schedule'!D$69</f>
        <v>60</v>
      </c>
      <c r="E15" s="69" t="n">
        <f aca="false">'Reno Schedule'!E$69</f>
        <v>8</v>
      </c>
      <c r="F15" s="69" t="n">
        <f aca="false">'Reno Schedule'!F$69</f>
        <v>0</v>
      </c>
      <c r="G15" s="69" t="n">
        <f aca="false">'Reno Schedule'!G$69</f>
        <v>0</v>
      </c>
      <c r="H15" s="69" t="n">
        <f aca="false">0</f>
        <v>0</v>
      </c>
    </row>
    <row r="16" customFormat="false" ht="15" hidden="false" customHeight="false" outlineLevel="0" collapsed="false">
      <c r="A16" s="9" t="s">
        <v>544</v>
      </c>
      <c r="B16" s="11" t="s">
        <v>27</v>
      </c>
      <c r="C16" s="39" t="n">
        <f aca="false">'Reno Schedule'!C$70/Assumptions!$B$17</f>
        <v>0.423728813559322</v>
      </c>
      <c r="D16" s="39" t="n">
        <f aca="false">'Reno Schedule'!D$70/Assumptions!$B$17</f>
        <v>0.932203389830508</v>
      </c>
      <c r="E16" s="39" t="n">
        <f aca="false">'Reno Schedule'!E$70/Assumptions!$B$17</f>
        <v>1</v>
      </c>
      <c r="F16" s="39" t="n">
        <f aca="false">'Reno Schedule'!F$70/Assumptions!$B$17</f>
        <v>1</v>
      </c>
      <c r="G16" s="39" t="n">
        <f aca="false">'Reno Schedule'!G$70/Assumptions!$B$17</f>
        <v>1</v>
      </c>
      <c r="H16" s="39" t="n">
        <f aca="false">1</f>
        <v>1</v>
      </c>
    </row>
    <row r="18" customFormat="false" ht="15" hidden="false" customHeight="false" outlineLevel="0" collapsed="false">
      <c r="A18" s="4" t="s">
        <v>379</v>
      </c>
      <c r="B18" s="4"/>
      <c r="C18" s="4"/>
      <c r="D18" s="4"/>
      <c r="E18" s="4"/>
      <c r="F18" s="4"/>
      <c r="G18" s="4"/>
      <c r="H18" s="4"/>
    </row>
    <row r="19" customFormat="false" ht="22.35" hidden="false" customHeight="false" outlineLevel="0" collapsed="false">
      <c r="A19" s="9" t="s">
        <v>545</v>
      </c>
      <c r="B19" s="11" t="s">
        <v>546</v>
      </c>
      <c r="C19" s="30" t="n">
        <f aca="false">C13*'Unit Mix'!$D$18*12*C10</f>
        <v>1571711.4035189</v>
      </c>
      <c r="D19" s="30" t="n">
        <f aca="false">D13*'Unit Mix'!$D$18*12*D10</f>
        <v>660593.865972704</v>
      </c>
      <c r="E19" s="30" t="n">
        <f aca="false">E13*'Unit Mix'!$D$18*12*E10</f>
        <v>15400.2644063184</v>
      </c>
      <c r="F19" s="30" t="n">
        <f aca="false">F13*'Unit Mix'!$D$18*12*F10</f>
        <v>0</v>
      </c>
      <c r="G19" s="30" t="n">
        <f aca="false">G13*'Unit Mix'!$D$18*12*G10</f>
        <v>0</v>
      </c>
      <c r="H19" s="30" t="n">
        <f aca="false">0</f>
        <v>0</v>
      </c>
    </row>
    <row r="20" customFormat="false" ht="22.35" hidden="false" customHeight="false" outlineLevel="0" collapsed="false">
      <c r="A20" s="9" t="s">
        <v>547</v>
      </c>
      <c r="B20" s="11" t="s">
        <v>548</v>
      </c>
      <c r="C20" s="30" t="n">
        <f aca="false">C14*'Unit Mix'!$D$19*12*C10</f>
        <v>334900.520514698</v>
      </c>
      <c r="D20" s="30" t="n">
        <f aca="false">D14*'Unit Mix'!$D$19*12*D10</f>
        <v>1425783.14933791</v>
      </c>
      <c r="E20" s="30" t="n">
        <f aca="false">E14*'Unit Mix'!$D$19*12*E10</f>
        <v>2218625.89738102</v>
      </c>
      <c r="F20" s="30" t="n">
        <f aca="false">F14*'Unit Mix'!$D$19*12*F10</f>
        <v>2303075.79986639</v>
      </c>
      <c r="G20" s="30" t="n">
        <f aca="false">G14*'Unit Mix'!$D$19*12*G10</f>
        <v>2372168.07386238</v>
      </c>
      <c r="H20" s="30" t="n">
        <f aca="false">H14*'Unit Mix'!$D$19*12*H10</f>
        <v>2443333.11607825</v>
      </c>
    </row>
    <row r="21" customFormat="false" ht="15" hidden="false" customHeight="false" outlineLevel="0" collapsed="false">
      <c r="A21" s="34" t="s">
        <v>549</v>
      </c>
      <c r="B21" s="70"/>
      <c r="C21" s="37" t="n">
        <f aca="false">C19+C20</f>
        <v>1906611.9240336</v>
      </c>
      <c r="D21" s="37" t="n">
        <f aca="false">D19+D20</f>
        <v>2086377.01531061</v>
      </c>
      <c r="E21" s="37" t="n">
        <f aca="false">E19+E20</f>
        <v>2234026.16178734</v>
      </c>
      <c r="F21" s="37" t="n">
        <f aca="false">F19+F20</f>
        <v>2303075.79986639</v>
      </c>
      <c r="G21" s="37" t="n">
        <f aca="false">G19+G20</f>
        <v>2372168.07386238</v>
      </c>
      <c r="H21" s="37" t="n">
        <f aca="false">H19+H20</f>
        <v>2443333.11607825</v>
      </c>
    </row>
    <row r="22" customFormat="false" ht="15" hidden="false" customHeight="false" outlineLevel="0" collapsed="false">
      <c r="A22" s="9" t="s">
        <v>550</v>
      </c>
      <c r="B22" s="11" t="s">
        <v>551</v>
      </c>
      <c r="C22" s="71" t="n">
        <f aca="false">C21/Assumptions!$B$17/12</f>
        <v>1346.47734748135</v>
      </c>
      <c r="D22" s="71" t="n">
        <f aca="false">D21/Assumptions!$B$17/12</f>
        <v>1473.43009555834</v>
      </c>
      <c r="E22" s="71" t="n">
        <f aca="false">E21/Assumptions!$B$17/12</f>
        <v>1577.70209165773</v>
      </c>
      <c r="F22" s="71" t="n">
        <f aca="false">F21/Assumptions!$B$17/12</f>
        <v>1626.46596035762</v>
      </c>
      <c r="G22" s="71" t="n">
        <f aca="false">G21/Assumptions!$B$17/12</f>
        <v>1675.25993916835</v>
      </c>
      <c r="H22" s="71" t="n">
        <f aca="false">H21/Assumptions!$B$17/12</f>
        <v>1725.5177373434</v>
      </c>
    </row>
    <row r="23" customFormat="false" ht="15" hidden="false" customHeight="false" outlineLevel="0" collapsed="false">
      <c r="A23" s="9" t="s">
        <v>552</v>
      </c>
      <c r="B23" s="11" t="s">
        <v>553</v>
      </c>
      <c r="C23" s="30" t="n">
        <f aca="false">-C21*Assumptions!C$47</f>
        <v>-41945.4623287391</v>
      </c>
      <c r="D23" s="30" t="n">
        <f aca="false">-D21*Assumptions!D$47</f>
        <v>-41727.5403062122</v>
      </c>
      <c r="E23" s="30" t="n">
        <f aca="false">-E21*Assumptions!E$47</f>
        <v>-39095.4578312785</v>
      </c>
      <c r="F23" s="30" t="n">
        <f aca="false">-F21*Assumptions!F$47</f>
        <v>-34546.1369979958</v>
      </c>
      <c r="G23" s="30" t="n">
        <f aca="false">-G21*Assumptions!G$47</f>
        <v>-35582.5211079357</v>
      </c>
      <c r="H23" s="30" t="n">
        <f aca="false">-H21*Assumptions!G$47</f>
        <v>-36649.9967411738</v>
      </c>
    </row>
    <row r="24" customFormat="false" ht="15" hidden="false" customHeight="false" outlineLevel="0" collapsed="false">
      <c r="A24" s="9" t="s">
        <v>554</v>
      </c>
      <c r="B24" s="11" t="s">
        <v>553</v>
      </c>
      <c r="C24" s="30" t="n">
        <f aca="false">-C21*Assumptions!C$48</f>
        <v>-95330.5962016798</v>
      </c>
      <c r="D24" s="30" t="n">
        <f aca="false">-D21*Assumptions!D$48</f>
        <v>-104318.850765531</v>
      </c>
      <c r="E24" s="30" t="n">
        <f aca="false">-E21*Assumptions!E$48</f>
        <v>-111701.308089367</v>
      </c>
      <c r="F24" s="30" t="n">
        <f aca="false">-F21*Assumptions!F$48</f>
        <v>-115153.789993319</v>
      </c>
      <c r="G24" s="30" t="n">
        <f aca="false">-G21*Assumptions!G$48</f>
        <v>-118608.403693119</v>
      </c>
      <c r="H24" s="30" t="n">
        <f aca="false">-H21*Assumptions!G$48</f>
        <v>-122166.655803913</v>
      </c>
    </row>
    <row r="25" customFormat="false" ht="15" hidden="false" customHeight="false" outlineLevel="0" collapsed="false">
      <c r="A25" s="9" t="s">
        <v>555</v>
      </c>
      <c r="B25" s="11" t="s">
        <v>556</v>
      </c>
      <c r="C25" s="30" t="n">
        <f aca="false">-C21*'Reno Schedule'!C$74</f>
        <v>-31417.8047745649</v>
      </c>
      <c r="D25" s="30" t="n">
        <f aca="false">-D21*'Reno Schedule'!D$74</f>
        <v>-41256.0426756335</v>
      </c>
      <c r="E25" s="30" t="n">
        <f aca="false">-E21*'Reno Schedule'!E$74</f>
        <v>-5890.08780885551</v>
      </c>
      <c r="F25" s="30" t="n">
        <f aca="false">-F21*'Reno Schedule'!F$74</f>
        <v>-0</v>
      </c>
      <c r="G25" s="30" t="n">
        <f aca="false">-G21*'Reno Schedule'!G$74</f>
        <v>-0</v>
      </c>
      <c r="H25" s="30" t="n">
        <f aca="false">0</f>
        <v>0</v>
      </c>
    </row>
    <row r="26" customFormat="false" ht="15" hidden="false" customHeight="false" outlineLevel="0" collapsed="false">
      <c r="A26" s="9" t="s">
        <v>557</v>
      </c>
      <c r="B26" s="11" t="s">
        <v>553</v>
      </c>
      <c r="C26" s="30" t="n">
        <f aca="false">-C21*Assumptions!C$49</f>
        <v>-14299.589430252</v>
      </c>
      <c r="D26" s="30" t="n">
        <f aca="false">-D21*Assumptions!D$49</f>
        <v>-15647.8276148296</v>
      </c>
      <c r="E26" s="30" t="n">
        <f aca="false">-E21*Assumptions!E$49</f>
        <v>-11170.1308089367</v>
      </c>
      <c r="F26" s="30" t="n">
        <f aca="false">-F21*Assumptions!F$49</f>
        <v>-11515.3789993319</v>
      </c>
      <c r="G26" s="30" t="n">
        <f aca="false">-G21*Assumptions!G$49</f>
        <v>-11860.8403693119</v>
      </c>
      <c r="H26" s="30" t="n">
        <f aca="false">-H21*Assumptions!G$49</f>
        <v>-12216.6655803913</v>
      </c>
    </row>
    <row r="27" customFormat="false" ht="15" hidden="false" customHeight="false" outlineLevel="0" collapsed="false">
      <c r="A27" s="9" t="s">
        <v>558</v>
      </c>
      <c r="B27" s="11" t="s">
        <v>553</v>
      </c>
      <c r="C27" s="30" t="n">
        <f aca="false">-C21*Assumptions!C$50</f>
        <v>-28599.1788605039</v>
      </c>
      <c r="D27" s="30" t="n">
        <f aca="false">-D21*Assumptions!D$50</f>
        <v>-26079.7126913826</v>
      </c>
      <c r="E27" s="30" t="n">
        <f aca="false">-E21*Assumptions!E$50</f>
        <v>-27925.3270223418</v>
      </c>
      <c r="F27" s="30" t="n">
        <f aca="false">-F21*Assumptions!F$50</f>
        <v>-23030.7579986639</v>
      </c>
      <c r="G27" s="30" t="n">
        <f aca="false">-G21*Assumptions!G$50</f>
        <v>-23721.6807386238</v>
      </c>
      <c r="H27" s="30" t="n">
        <f aca="false">-H21*Assumptions!G$50</f>
        <v>-24433.3311607825</v>
      </c>
    </row>
    <row r="28" customFormat="false" ht="15" hidden="false" customHeight="false" outlineLevel="0" collapsed="false">
      <c r="A28" s="34" t="s">
        <v>395</v>
      </c>
      <c r="B28" s="70"/>
      <c r="C28" s="37" t="n">
        <f aca="false">SUM(C21:C27)-C22</f>
        <v>1695019.29243786</v>
      </c>
      <c r="D28" s="37" t="n">
        <f aca="false">SUM(D21:D27)-D22</f>
        <v>1857347.04125702</v>
      </c>
      <c r="E28" s="37" t="n">
        <f aca="false">SUM(E21:E27)-E22</f>
        <v>2038243.85022656</v>
      </c>
      <c r="F28" s="37" t="n">
        <f aca="false">SUM(F21:F27)-F22</f>
        <v>2118829.73587708</v>
      </c>
      <c r="G28" s="37" t="n">
        <f aca="false">SUM(G21:G27)-G22</f>
        <v>2182394.62795339</v>
      </c>
      <c r="H28" s="37" t="n">
        <f aca="false">SUM(H21:H27)-H22</f>
        <v>2247866.46679199</v>
      </c>
    </row>
    <row r="29" customFormat="false" ht="15" hidden="false" customHeight="false" outlineLevel="0" collapsed="false">
      <c r="A29" s="9" t="s">
        <v>559</v>
      </c>
      <c r="B29" s="11" t="s">
        <v>560</v>
      </c>
      <c r="C29" s="72" t="n">
        <f aca="false">C28/C21</f>
        <v>0.889021657250471</v>
      </c>
      <c r="D29" s="72" t="n">
        <f aca="false">D28/D21</f>
        <v>0.890225988700565</v>
      </c>
      <c r="E29" s="72" t="n">
        <f aca="false">E28/E21</f>
        <v>0.912363465160075</v>
      </c>
      <c r="F29" s="72" t="n">
        <f aca="false">F28/F21</f>
        <v>0.92</v>
      </c>
      <c r="G29" s="72" t="n">
        <f aca="false">G28/G21</f>
        <v>0.92</v>
      </c>
      <c r="H29" s="72" t="n">
        <f aca="false">H28/H21</f>
        <v>0.92</v>
      </c>
    </row>
    <row r="30" customFormat="false" ht="15" hidden="false" customHeight="false" outlineLevel="0" collapsed="false">
      <c r="A30" s="9" t="s">
        <v>561</v>
      </c>
      <c r="B30" s="11" t="s">
        <v>562</v>
      </c>
      <c r="C30" s="72" t="n">
        <f aca="false">1+(C24+C25)/C21</f>
        <v>0.933521657250471</v>
      </c>
      <c r="D30" s="72" t="n">
        <f aca="false">1+(D24+D25)/D21</f>
        <v>0.930225988700565</v>
      </c>
      <c r="E30" s="72" t="n">
        <f aca="false">1+(E24+E25)/E21</f>
        <v>0.947363465160075</v>
      </c>
      <c r="F30" s="72" t="n">
        <f aca="false">1+(F24+F25)/F21</f>
        <v>0.95</v>
      </c>
      <c r="G30" s="72" t="n">
        <f aca="false">1+(G24+G25)/G21</f>
        <v>0.95</v>
      </c>
      <c r="H30" s="72" t="n">
        <f aca="false">1+(H24+H25)/H21</f>
        <v>0.95</v>
      </c>
    </row>
    <row r="31" customFormat="false" ht="15" hidden="false" customHeight="false" outlineLevel="0" collapsed="false">
      <c r="A31" s="9" t="s">
        <v>23</v>
      </c>
      <c r="B31" s="11" t="s">
        <v>563</v>
      </c>
      <c r="C31" s="32" t="n">
        <f aca="false">'Other Income'!C$25</f>
        <v>238318.9</v>
      </c>
      <c r="D31" s="32" t="n">
        <f aca="false">'Other Income'!D$25</f>
        <v>268814.3836</v>
      </c>
      <c r="E31" s="32" t="n">
        <f aca="false">'Other Income'!E$25</f>
        <v>279458.318458</v>
      </c>
      <c r="F31" s="32" t="n">
        <f aca="false">'Other Income'!F$25</f>
        <v>288669.49201174</v>
      </c>
      <c r="G31" s="32" t="n">
        <f aca="false">'Other Income'!G$25</f>
        <v>298190.097732092</v>
      </c>
      <c r="H31" s="32" t="n">
        <f aca="false">'Other Income'!G$25*(1+Assumptions!G$51)</f>
        <v>307135.800664055</v>
      </c>
    </row>
    <row r="32" customFormat="false" ht="15" hidden="false" customHeight="false" outlineLevel="0" collapsed="false">
      <c r="A32" s="73" t="s">
        <v>564</v>
      </c>
      <c r="B32" s="74"/>
      <c r="C32" s="75" t="n">
        <f aca="false">C28+C31</f>
        <v>1933338.19243786</v>
      </c>
      <c r="D32" s="75" t="n">
        <f aca="false">D28+D31</f>
        <v>2126161.42485702</v>
      </c>
      <c r="E32" s="75" t="n">
        <f aca="false">E28+E31</f>
        <v>2317702.16868456</v>
      </c>
      <c r="F32" s="75" t="n">
        <f aca="false">F28+F31</f>
        <v>2407499.22788882</v>
      </c>
      <c r="G32" s="75" t="n">
        <f aca="false">G28+G31</f>
        <v>2480584.72568548</v>
      </c>
      <c r="H32" s="75" t="n">
        <f aca="false">H28+H31</f>
        <v>2555002.26745605</v>
      </c>
    </row>
    <row r="34" customFormat="false" ht="15" hidden="false" customHeight="false" outlineLevel="0" collapsed="false">
      <c r="A34" s="4" t="s">
        <v>419</v>
      </c>
      <c r="B34" s="4"/>
      <c r="C34" s="4"/>
      <c r="D34" s="4"/>
      <c r="E34" s="4"/>
      <c r="F34" s="4"/>
      <c r="G34" s="4"/>
      <c r="H34" s="4"/>
    </row>
    <row r="35" customFormat="false" ht="15" hidden="false" customHeight="false" outlineLevel="0" collapsed="false">
      <c r="A35" s="9" t="s">
        <v>152</v>
      </c>
      <c r="B35" s="11" t="s">
        <v>565</v>
      </c>
      <c r="C35" s="30" t="n">
        <f aca="false">Assumptions!$B$55</f>
        <v>235000</v>
      </c>
      <c r="D35" s="30" t="n">
        <f aca="false">C35*(1+Assumptions!$C$55)</f>
        <v>243225</v>
      </c>
      <c r="E35" s="30" t="n">
        <f aca="false">D35*(1+Assumptions!$C$55)</f>
        <v>251737.875</v>
      </c>
      <c r="F35" s="30" t="n">
        <f aca="false">E35*(1+Assumptions!$C$55)</f>
        <v>260548.700625</v>
      </c>
      <c r="G35" s="30" t="n">
        <f aca="false">F35*(1+Assumptions!$C$55)</f>
        <v>269667.905146875</v>
      </c>
      <c r="H35" s="30" t="n">
        <f aca="false">G35*(1+Assumptions!$C$55)</f>
        <v>279106.281827016</v>
      </c>
    </row>
    <row r="36" customFormat="false" ht="15" hidden="false" customHeight="false" outlineLevel="0" collapsed="false">
      <c r="A36" s="9" t="s">
        <v>422</v>
      </c>
      <c r="B36" s="11" t="s">
        <v>566</v>
      </c>
      <c r="C36" s="30" t="n">
        <f aca="false">C32*Assumptions!$B$56</f>
        <v>77333.5276975143</v>
      </c>
      <c r="D36" s="30" t="n">
        <f aca="false">D32*Assumptions!$B$56</f>
        <v>85046.4569942809</v>
      </c>
      <c r="E36" s="30" t="n">
        <f aca="false">E32*Assumptions!$B$56</f>
        <v>92708.0867473825</v>
      </c>
      <c r="F36" s="30" t="n">
        <f aca="false">F32*Assumptions!$B$56</f>
        <v>96299.9691155527</v>
      </c>
      <c r="G36" s="30" t="n">
        <f aca="false">G32*Assumptions!$B$56</f>
        <v>99223.3890274193</v>
      </c>
      <c r="H36" s="30" t="n">
        <f aca="false">H32*Assumptions!$B$56</f>
        <v>102200.090698242</v>
      </c>
    </row>
    <row r="37" customFormat="false" ht="15" hidden="false" customHeight="false" outlineLevel="0" collapsed="false">
      <c r="A37" s="9" t="s">
        <v>156</v>
      </c>
      <c r="B37" s="11" t="s">
        <v>565</v>
      </c>
      <c r="C37" s="30" t="n">
        <f aca="false">Assumptions!$B$57</f>
        <v>28000</v>
      </c>
      <c r="D37" s="30" t="n">
        <f aca="false">C37*(1+Assumptions!$C$57)</f>
        <v>28840</v>
      </c>
      <c r="E37" s="30" t="n">
        <f aca="false">D37*(1+Assumptions!$C$57)</f>
        <v>29705.2</v>
      </c>
      <c r="F37" s="30" t="n">
        <f aca="false">E37*(1+Assumptions!$C$57)</f>
        <v>30596.356</v>
      </c>
      <c r="G37" s="30" t="n">
        <f aca="false">F37*(1+Assumptions!$C$57)</f>
        <v>31514.24668</v>
      </c>
      <c r="H37" s="30" t="n">
        <f aca="false">G37*(1+Assumptions!$C$57)</f>
        <v>32459.6740804</v>
      </c>
    </row>
    <row r="38" customFormat="false" ht="15" hidden="false" customHeight="false" outlineLevel="0" collapsed="false">
      <c r="A38" s="9" t="s">
        <v>158</v>
      </c>
      <c r="B38" s="11" t="s">
        <v>565</v>
      </c>
      <c r="C38" s="30" t="n">
        <f aca="false">Assumptions!$B$58</f>
        <v>50000</v>
      </c>
      <c r="D38" s="30" t="n">
        <f aca="false">C38*(1+Assumptions!$C$58)</f>
        <v>51500</v>
      </c>
      <c r="E38" s="30" t="n">
        <f aca="false">D38*(1+Assumptions!$C$58)</f>
        <v>53045</v>
      </c>
      <c r="F38" s="30" t="n">
        <f aca="false">E38*(1+Assumptions!$C$58)</f>
        <v>54636.35</v>
      </c>
      <c r="G38" s="30" t="n">
        <f aca="false">F38*(1+Assumptions!$C$58)</f>
        <v>56275.4405</v>
      </c>
      <c r="H38" s="30" t="n">
        <f aca="false">G38*(1+Assumptions!$C$58)</f>
        <v>57963.703715</v>
      </c>
    </row>
    <row r="39" customFormat="false" ht="15" hidden="false" customHeight="false" outlineLevel="0" collapsed="false">
      <c r="A39" s="9" t="s">
        <v>426</v>
      </c>
      <c r="B39" s="11" t="s">
        <v>567</v>
      </c>
      <c r="C39" s="30" t="n">
        <f aca="false">Assumptions!$B$59</f>
        <v>39577</v>
      </c>
      <c r="D39" s="30" t="n">
        <f aca="false">C39*(1+Assumptions!$C$59)</f>
        <v>40764.31</v>
      </c>
      <c r="E39" s="30" t="n">
        <f aca="false">D39*(1+Assumptions!$C$59)</f>
        <v>41987.2393</v>
      </c>
      <c r="F39" s="30" t="n">
        <f aca="false">E39*(1+Assumptions!$C$59)</f>
        <v>43246.856479</v>
      </c>
      <c r="G39" s="30" t="n">
        <f aca="false">F39*(1+Assumptions!$C$59)</f>
        <v>44544.26217337</v>
      </c>
      <c r="H39" s="30" t="n">
        <f aca="false">G39*(1+Assumptions!$C$59)</f>
        <v>45880.5900385711</v>
      </c>
    </row>
    <row r="40" customFormat="false" ht="15" hidden="false" customHeight="false" outlineLevel="0" collapsed="false">
      <c r="A40" s="9" t="s">
        <v>568</v>
      </c>
      <c r="B40" s="11" t="s">
        <v>565</v>
      </c>
      <c r="C40" s="30" t="n">
        <f aca="false">Assumptions!$B$60</f>
        <v>31000</v>
      </c>
      <c r="D40" s="30" t="n">
        <f aca="false">C40*(1+Assumptions!$C$60)</f>
        <v>31930</v>
      </c>
      <c r="E40" s="30" t="n">
        <f aca="false">D40*(1+Assumptions!$C$60)</f>
        <v>32887.9</v>
      </c>
      <c r="F40" s="30" t="n">
        <f aca="false">E40*(1+Assumptions!$C$60)</f>
        <v>33874.537</v>
      </c>
      <c r="G40" s="30" t="n">
        <f aca="false">F40*(1+Assumptions!$C$60)</f>
        <v>34890.77311</v>
      </c>
      <c r="H40" s="30" t="n">
        <f aca="false">G40*(1+Assumptions!$C$60)</f>
        <v>35937.4963033</v>
      </c>
    </row>
    <row r="41" customFormat="false" ht="15" hidden="false" customHeight="false" outlineLevel="0" collapsed="false">
      <c r="A41" s="9" t="s">
        <v>569</v>
      </c>
      <c r="B41" s="11" t="s">
        <v>565</v>
      </c>
      <c r="C41" s="30" t="n">
        <f aca="false">Assumptions!$B$61</f>
        <v>16000</v>
      </c>
      <c r="D41" s="30" t="n">
        <f aca="false">C41*(1+Assumptions!$C$61)</f>
        <v>16480</v>
      </c>
      <c r="E41" s="30" t="n">
        <f aca="false">D41*(1+Assumptions!$C$61)</f>
        <v>16974.4</v>
      </c>
      <c r="F41" s="30" t="n">
        <f aca="false">E41*(1+Assumptions!$C$61)</f>
        <v>17483.632</v>
      </c>
      <c r="G41" s="30" t="n">
        <f aca="false">F41*(1+Assumptions!$C$61)</f>
        <v>18008.14096</v>
      </c>
      <c r="H41" s="30" t="n">
        <f aca="false">G41*(1+Assumptions!$C$61)</f>
        <v>18548.3851888</v>
      </c>
    </row>
    <row r="42" customFormat="false" ht="22.35" hidden="false" customHeight="false" outlineLevel="0" collapsed="false">
      <c r="A42" s="9" t="s">
        <v>166</v>
      </c>
      <c r="B42" s="11" t="s">
        <v>570</v>
      </c>
      <c r="C42" s="30" t="n">
        <f aca="false">Assumptions!$B$62</f>
        <v>90000</v>
      </c>
      <c r="D42" s="30" t="n">
        <f aca="false">C42*(1+Assumptions!$C$62)</f>
        <v>93600</v>
      </c>
      <c r="E42" s="30" t="n">
        <f aca="false">D42*(1+Assumptions!$C$62)</f>
        <v>97344</v>
      </c>
      <c r="F42" s="30" t="n">
        <f aca="false">E42*(1+Assumptions!$C$62)</f>
        <v>101237.76</v>
      </c>
      <c r="G42" s="30" t="n">
        <f aca="false">F42*(1+Assumptions!$C$62)</f>
        <v>105287.2704</v>
      </c>
      <c r="H42" s="30" t="n">
        <f aca="false">G42*(1+Assumptions!$C$62)</f>
        <v>109498.761216</v>
      </c>
    </row>
    <row r="43" customFormat="false" ht="15" hidden="false" customHeight="false" outlineLevel="0" collapsed="false">
      <c r="A43" s="9" t="s">
        <v>571</v>
      </c>
      <c r="B43" s="11" t="s">
        <v>565</v>
      </c>
      <c r="C43" s="30" t="n">
        <f aca="false">Assumptions!$B$63</f>
        <v>255000</v>
      </c>
      <c r="D43" s="30" t="n">
        <f aca="false">C43*(1+Assumptions!$C$63)</f>
        <v>262650</v>
      </c>
      <c r="E43" s="30" t="n">
        <f aca="false">D43*(1+Assumptions!$C$63)</f>
        <v>270529.5</v>
      </c>
      <c r="F43" s="30" t="n">
        <f aca="false">E43*(1+Assumptions!$C$63)</f>
        <v>278645.385</v>
      </c>
      <c r="G43" s="30" t="n">
        <f aca="false">F43*(1+Assumptions!$C$63)</f>
        <v>287004.74655</v>
      </c>
      <c r="H43" s="30" t="n">
        <f aca="false">G43*(1+Assumptions!$C$63)</f>
        <v>295614.8889465</v>
      </c>
    </row>
    <row r="44" customFormat="false" ht="15" hidden="false" customHeight="false" outlineLevel="0" collapsed="false">
      <c r="A44" s="9" t="s">
        <v>52</v>
      </c>
      <c r="B44" s="11" t="s">
        <v>565</v>
      </c>
      <c r="C44" s="30" t="n">
        <f aca="false">Assumptions!$B$64</f>
        <v>95000</v>
      </c>
      <c r="D44" s="30" t="n">
        <f aca="false">C44*(1+Assumptions!$C$64)</f>
        <v>99750</v>
      </c>
      <c r="E44" s="30" t="n">
        <f aca="false">D44*(1+Assumptions!$C$64)</f>
        <v>104737.5</v>
      </c>
      <c r="F44" s="30" t="n">
        <f aca="false">E44*(1+Assumptions!$C$64)</f>
        <v>109974.375</v>
      </c>
      <c r="G44" s="30" t="n">
        <f aca="false">F44*(1+Assumptions!$C$64)</f>
        <v>115473.09375</v>
      </c>
      <c r="H44" s="30" t="n">
        <f aca="false">G44*(1+Assumptions!$C$64)</f>
        <v>121246.7484375</v>
      </c>
    </row>
    <row r="45" customFormat="false" ht="15" hidden="false" customHeight="false" outlineLevel="0" collapsed="false">
      <c r="A45" s="9" t="s">
        <v>171</v>
      </c>
      <c r="B45" s="11" t="s">
        <v>572</v>
      </c>
      <c r="C45" s="32" t="n">
        <f aca="false">Assumptions!C$66</f>
        <v>140000</v>
      </c>
      <c r="D45" s="32" t="n">
        <f aca="false">Assumptions!D$66</f>
        <v>170000</v>
      </c>
      <c r="E45" s="32" t="n">
        <f aca="false">Assumptions!E$66</f>
        <v>190000</v>
      </c>
      <c r="F45" s="32" t="n">
        <f aca="false">Assumptions!F$66</f>
        <v>200000</v>
      </c>
      <c r="G45" s="32" t="n">
        <f aca="false">Assumptions!G$66</f>
        <v>210000</v>
      </c>
      <c r="H45" s="32" t="n">
        <f aca="false">Assumptions!G$66*1.05</f>
        <v>220500</v>
      </c>
    </row>
    <row r="46" customFormat="false" ht="15" hidden="false" customHeight="false" outlineLevel="0" collapsed="false">
      <c r="A46" s="34" t="s">
        <v>434</v>
      </c>
      <c r="B46" s="70"/>
      <c r="C46" s="37" t="n">
        <f aca="false">SUM(C35:C45)</f>
        <v>1056910.52769751</v>
      </c>
      <c r="D46" s="37" t="n">
        <f aca="false">SUM(D35:D45)</f>
        <v>1123785.76699428</v>
      </c>
      <c r="E46" s="37" t="n">
        <f aca="false">SUM(E35:E45)</f>
        <v>1181656.70104738</v>
      </c>
      <c r="F46" s="37" t="n">
        <f aca="false">SUM(F35:F45)</f>
        <v>1226543.92121955</v>
      </c>
      <c r="G46" s="37" t="n">
        <f aca="false">SUM(G35:G45)</f>
        <v>1271889.26829766</v>
      </c>
      <c r="H46" s="37" t="n">
        <f aca="false">SUM(H35:H45)</f>
        <v>1318956.62045133</v>
      </c>
    </row>
    <row r="47" customFormat="false" ht="15" hidden="false" customHeight="false" outlineLevel="0" collapsed="false">
      <c r="A47" s="9" t="s">
        <v>480</v>
      </c>
      <c r="B47" s="11"/>
      <c r="C47" s="71" t="n">
        <f aca="false">C46/Assumptions!$B$17</f>
        <v>8956.86887879249</v>
      </c>
      <c r="D47" s="71" t="n">
        <f aca="false">D46/Assumptions!$B$17</f>
        <v>9523.60819486679</v>
      </c>
      <c r="E47" s="71" t="n">
        <f aca="false">E46/Assumptions!$B$17</f>
        <v>10014.0398393846</v>
      </c>
      <c r="F47" s="71" t="n">
        <f aca="false">F46/Assumptions!$B$17</f>
        <v>10394.4400103352</v>
      </c>
      <c r="G47" s="71" t="n">
        <f aca="false">G46/Assumptions!$B$17</f>
        <v>10778.7226126921</v>
      </c>
      <c r="H47" s="71" t="n">
        <f aca="false">H46/Assumptions!$B$17</f>
        <v>11177.5984784011</v>
      </c>
    </row>
    <row r="48" customFormat="false" ht="15" hidden="false" customHeight="false" outlineLevel="0" collapsed="false">
      <c r="A48" s="9" t="s">
        <v>573</v>
      </c>
      <c r="B48" s="11" t="s">
        <v>574</v>
      </c>
      <c r="C48" s="72" t="n">
        <f aca="false">C46/C32</f>
        <v>0.546676485175517</v>
      </c>
      <c r="D48" s="72" t="n">
        <f aca="false">D46/D32</f>
        <v>0.528551479608305</v>
      </c>
      <c r="E48" s="72" t="n">
        <f aca="false">E46/E32</f>
        <v>0.509839752929966</v>
      </c>
      <c r="F48" s="72" t="n">
        <f aca="false">F46/F32</f>
        <v>0.509468043441548</v>
      </c>
      <c r="G48" s="72" t="n">
        <f aca="false">G46/G32</f>
        <v>0.51273768443696</v>
      </c>
      <c r="H48" s="72" t="n">
        <f aca="false">H46/H32</f>
        <v>0.516225225022826</v>
      </c>
    </row>
    <row r="50" customFormat="false" ht="15" hidden="false" customHeight="false" outlineLevel="0" collapsed="false">
      <c r="A50" s="76" t="s">
        <v>575</v>
      </c>
      <c r="B50" s="74"/>
      <c r="C50" s="77" t="n">
        <f aca="false">C32-C46</f>
        <v>876427.664740342</v>
      </c>
      <c r="D50" s="77" t="n">
        <f aca="false">D32-D46</f>
        <v>1002375.65786274</v>
      </c>
      <c r="E50" s="77" t="n">
        <f aca="false">E32-E46</f>
        <v>1136045.46763718</v>
      </c>
      <c r="F50" s="77" t="n">
        <f aca="false">F32-F46</f>
        <v>1180955.30666926</v>
      </c>
      <c r="G50" s="77" t="n">
        <f aca="false">G32-G46</f>
        <v>1208695.45738782</v>
      </c>
      <c r="H50" s="77" t="n">
        <f aca="false">H32-H46</f>
        <v>1236045.64700472</v>
      </c>
    </row>
    <row r="51" customFormat="false" ht="15" hidden="false" customHeight="false" outlineLevel="0" collapsed="false">
      <c r="A51" s="9" t="s">
        <v>576</v>
      </c>
      <c r="B51" s="11"/>
      <c r="C51" s="71" t="n">
        <f aca="false">C50/Assumptions!$B$17</f>
        <v>7427.35309101985</v>
      </c>
      <c r="D51" s="71" t="n">
        <f aca="false">D50/Assumptions!$B$17</f>
        <v>8494.70896493849</v>
      </c>
      <c r="E51" s="71" t="n">
        <f aca="false">E50/Assumptions!$B$17</f>
        <v>9627.50396302694</v>
      </c>
      <c r="F51" s="71" t="n">
        <f aca="false">F50/Assumptions!$B$17</f>
        <v>10008.0958192311</v>
      </c>
      <c r="G51" s="71" t="n">
        <f aca="false">G50/Assumptions!$B$17</f>
        <v>10243.1818422696</v>
      </c>
      <c r="H51" s="71" t="n">
        <f aca="false">H50/Assumptions!$B$17</f>
        <v>10474.9631102095</v>
      </c>
    </row>
    <row r="52" customFormat="false" ht="15" hidden="false" customHeight="false" outlineLevel="0" collapsed="false">
      <c r="A52" s="9" t="s">
        <v>577</v>
      </c>
      <c r="B52" s="11"/>
      <c r="C52" s="72" t="n">
        <f aca="false">C50/C32</f>
        <v>0.453323514824483</v>
      </c>
      <c r="D52" s="72" t="n">
        <f aca="false">D50/D32</f>
        <v>0.471448520391695</v>
      </c>
      <c r="E52" s="72" t="n">
        <f aca="false">E50/E32</f>
        <v>0.490160247070034</v>
      </c>
      <c r="F52" s="72" t="n">
        <f aca="false">F50/F32</f>
        <v>0.490531956558452</v>
      </c>
      <c r="G52" s="72" t="n">
        <f aca="false">G50/G32</f>
        <v>0.487262315563041</v>
      </c>
    </row>
    <row r="53" customFormat="false" ht="15" hidden="false" customHeight="false" outlineLevel="0" collapsed="false">
      <c r="A53" s="9" t="s">
        <v>578</v>
      </c>
      <c r="B53" s="11"/>
      <c r="C53" s="72" t="str">
        <f aca="false">"n/a"</f>
        <v>n/a</v>
      </c>
      <c r="D53" s="72" t="n">
        <f aca="false">D50/C50-1</f>
        <v>0.14370609029065</v>
      </c>
      <c r="E53" s="72" t="n">
        <f aca="false">E50/D50-1</f>
        <v>0.133353008650916</v>
      </c>
      <c r="F53" s="72" t="n">
        <f aca="false">F50/E50-1</f>
        <v>0.0395317267762978</v>
      </c>
      <c r="G53" s="72" t="n">
        <f aca="false">G50/F50-1</f>
        <v>0.0234895855600084</v>
      </c>
    </row>
    <row r="54" customFormat="false" ht="15" hidden="false" customHeight="false" outlineLevel="0" collapsed="false">
      <c r="A54" s="9" t="s">
        <v>579</v>
      </c>
      <c r="B54" s="11" t="s">
        <v>580</v>
      </c>
      <c r="C54" s="72" t="n">
        <f aca="false">C50/Assumptions!$B$6</f>
        <v>0.0617202580803058</v>
      </c>
      <c r="D54" s="72" t="n">
        <f aca="false">D50/Assumptions!$B$6</f>
        <v>0.0705898350607565</v>
      </c>
      <c r="E54" s="72" t="n">
        <f aca="false">E50/Assumptions!$B$6</f>
        <v>0.0800032019462802</v>
      </c>
      <c r="F54" s="72" t="n">
        <f aca="false">F50/Assumptions!$B$6</f>
        <v>0.0831658666668496</v>
      </c>
      <c r="G54" s="72" t="n">
        <f aca="false">G50/Assumptions!$B$6</f>
        <v>0.0851193984075928</v>
      </c>
    </row>
    <row r="55" customFormat="false" ht="15" hidden="false" customHeight="false" outlineLevel="0" collapsed="false">
      <c r="A55" s="9" t="s">
        <v>581</v>
      </c>
      <c r="B55" s="11" t="s">
        <v>582</v>
      </c>
      <c r="C55" s="72" t="n">
        <f aca="false">C50/Returns!$C$22</f>
        <v>0.0507440957565022</v>
      </c>
      <c r="D55" s="72" t="n">
        <f aca="false">D50/Returns!$C$22</f>
        <v>0.0580363313630035</v>
      </c>
      <c r="E55" s="72" t="n">
        <f aca="false">E50/Returns!$C$22</f>
        <v>0.0657756507613215</v>
      </c>
      <c r="F55" s="72" t="n">
        <f aca="false">F50/Returns!$C$22</f>
        <v>0.0683758758157513</v>
      </c>
      <c r="G55" s="72" t="n">
        <f aca="false">G50/Returns!$C$22</f>
        <v>0.0699819968009658</v>
      </c>
    </row>
    <row r="57" customFormat="false" ht="15" hidden="false" customHeight="false" outlineLevel="0" collapsed="false">
      <c r="A57" s="4" t="s">
        <v>583</v>
      </c>
      <c r="B57" s="4"/>
      <c r="C57" s="4"/>
      <c r="D57" s="4"/>
      <c r="E57" s="4"/>
      <c r="F57" s="4"/>
      <c r="G57" s="4"/>
      <c r="H57" s="4"/>
    </row>
    <row r="58" customFormat="false" ht="15" hidden="false" customHeight="false" outlineLevel="0" collapsed="false">
      <c r="A58" s="9" t="s">
        <v>584</v>
      </c>
      <c r="B58" s="11" t="s">
        <v>585</v>
      </c>
      <c r="C58" s="30" t="n">
        <f aca="false">-Assumptions!$B$67*Assumptions!$B$17</f>
        <v>-35400</v>
      </c>
      <c r="D58" s="30" t="n">
        <f aca="false">C58*(1+Assumptions!D$51)</f>
        <v>-36462</v>
      </c>
      <c r="E58" s="30" t="n">
        <f aca="false">D58*(1+Assumptions!E$51)</f>
        <v>-37555.86</v>
      </c>
      <c r="F58" s="30" t="n">
        <f aca="false">E58*(1+Assumptions!F$51)</f>
        <v>-38682.5358</v>
      </c>
      <c r="G58" s="30" t="n">
        <f aca="false">F58*(1+Assumptions!G$51)</f>
        <v>-39843.011874</v>
      </c>
    </row>
    <row r="59" customFormat="false" ht="15" hidden="false" customHeight="false" outlineLevel="0" collapsed="false">
      <c r="A59" s="34" t="s">
        <v>586</v>
      </c>
      <c r="B59" s="70"/>
      <c r="C59" s="37" t="n">
        <f aca="false">C50+C58</f>
        <v>841027.664740342</v>
      </c>
      <c r="D59" s="37" t="n">
        <f aca="false">D50+D58</f>
        <v>965913.657862742</v>
      </c>
      <c r="E59" s="37" t="n">
        <f aca="false">E50+E58</f>
        <v>1098489.60763718</v>
      </c>
      <c r="F59" s="37" t="n">
        <f aca="false">F50+F58</f>
        <v>1142272.77086926</v>
      </c>
      <c r="G59" s="37" t="n">
        <f aca="false">G50+G58</f>
        <v>1168852.44551382</v>
      </c>
    </row>
    <row r="60" customFormat="false" ht="15" hidden="false" customHeight="false" outlineLevel="0" collapsed="false">
      <c r="A60" s="9" t="s">
        <v>587</v>
      </c>
      <c r="B60" s="11" t="s">
        <v>588</v>
      </c>
      <c r="C60" s="30" t="n">
        <f aca="false">-Returns!$C$27*Assumptions!$B$73</f>
        <v>-640887.729841375</v>
      </c>
      <c r="D60" s="30" t="n">
        <f aca="false">-Returns!$C$27*Assumptions!$B$73</f>
        <v>-640887.729841375</v>
      </c>
      <c r="E60" s="30" t="n">
        <f aca="false">-Returns!$C$27*Assumptions!$B$73</f>
        <v>-640887.729841375</v>
      </c>
      <c r="F60" s="30" t="n">
        <f aca="false">-Returns!$C$27*Assumptions!$B$73</f>
        <v>-640887.729841375</v>
      </c>
      <c r="G60" s="30" t="n">
        <f aca="false">-Returns!$C$27*Assumptions!$B$73</f>
        <v>-640887.729841375</v>
      </c>
    </row>
    <row r="61" customFormat="false" ht="15" hidden="false" customHeight="false" outlineLevel="0" collapsed="false">
      <c r="A61" s="73" t="s">
        <v>589</v>
      </c>
      <c r="B61" s="74"/>
      <c r="C61" s="75" t="n">
        <f aca="false">C59+C60</f>
        <v>200139.934898967</v>
      </c>
      <c r="D61" s="75" t="n">
        <f aca="false">D59+D60</f>
        <v>325025.928021366</v>
      </c>
      <c r="E61" s="75" t="n">
        <f aca="false">E59+E60</f>
        <v>457601.877795804</v>
      </c>
      <c r="F61" s="75" t="n">
        <f aca="false">F59+F60</f>
        <v>501385.041027889</v>
      </c>
      <c r="G61" s="75" t="n">
        <f aca="false">G59+G60</f>
        <v>527964.715672442</v>
      </c>
    </row>
    <row r="62" customFormat="false" ht="15" hidden="false" customHeight="false" outlineLevel="0" collapsed="false">
      <c r="A62" s="9" t="s">
        <v>590</v>
      </c>
      <c r="B62" s="11" t="s">
        <v>591</v>
      </c>
      <c r="C62" s="78" t="n">
        <f aca="false">C50/-C60</f>
        <v>1.36752136752137</v>
      </c>
      <c r="D62" s="78" t="n">
        <f aca="false">D50/-D60</f>
        <v>1.56404251663679</v>
      </c>
      <c r="E62" s="78" t="n">
        <f aca="false">E50/-E60</f>
        <v>1.77261229188825</v>
      </c>
      <c r="F62" s="78" t="n">
        <f aca="false">F50/-F60</f>
        <v>1.84268671669149</v>
      </c>
      <c r="G62" s="78" t="n">
        <f aca="false">G50/-G60</f>
        <v>1.8859706639835</v>
      </c>
    </row>
    <row r="63" customFormat="false" ht="15" hidden="false" customHeight="false" outlineLevel="0" collapsed="false">
      <c r="A63" s="9" t="s">
        <v>592</v>
      </c>
      <c r="B63" s="11" t="s">
        <v>593</v>
      </c>
      <c r="C63" s="72" t="n">
        <f aca="false">C50/Returns!$C$27</f>
        <v>0.08</v>
      </c>
      <c r="D63" s="72" t="n">
        <f aca="false">D50/Returns!$C$27</f>
        <v>0.091496487223252</v>
      </c>
      <c r="E63" s="72" t="n">
        <f aca="false">E50/Returns!$C$27</f>
        <v>0.103697819075463</v>
      </c>
      <c r="F63" s="72" t="n">
        <f aca="false">F50/Returns!$C$27</f>
        <v>0.107797172926452</v>
      </c>
      <c r="G63" s="72" t="n">
        <f aca="false">G50/Returns!$C$27</f>
        <v>0.110329283843035</v>
      </c>
    </row>
    <row r="64" customFormat="false" ht="15" hidden="false" customHeight="false" outlineLevel="0" collapsed="false">
      <c r="A64" s="9" t="s">
        <v>594</v>
      </c>
      <c r="B64" s="11" t="s">
        <v>595</v>
      </c>
      <c r="C64" s="72" t="n">
        <f aca="false">C61/Returns!$C$17</f>
        <v>0.0296999590024195</v>
      </c>
      <c r="D64" s="72" t="n">
        <f aca="false">D61/Returns!$C$17</f>
        <v>0.048232536609103</v>
      </c>
      <c r="E64" s="72" t="n">
        <f aca="false">E61/Returns!$C$17</f>
        <v>0.0679062727627363</v>
      </c>
      <c r="F64" s="72" t="n">
        <f aca="false">F61/Returns!$C$17</f>
        <v>0.0744035175712029</v>
      </c>
      <c r="G64" s="72" t="n">
        <f aca="false">G61/Returns!$C$17</f>
        <v>0.0783478340697537</v>
      </c>
    </row>
    <row r="66" customFormat="false" ht="15" hidden="false" customHeight="false" outlineLevel="0" collapsed="false">
      <c r="A66" s="4" t="s">
        <v>596</v>
      </c>
      <c r="B66" s="4"/>
      <c r="C66" s="4"/>
      <c r="D66" s="4"/>
      <c r="E66" s="4"/>
      <c r="F66" s="4"/>
      <c r="G66" s="4"/>
      <c r="H66" s="4"/>
    </row>
    <row r="67" customFormat="false" ht="15" hidden="false" customHeight="false" outlineLevel="0" collapsed="false">
      <c r="A67" s="9" t="s">
        <v>597</v>
      </c>
      <c r="B67" s="11" t="s">
        <v>27</v>
      </c>
      <c r="C67" s="32" t="n">
        <f aca="false">'Reno Schedule'!C$73</f>
        <v>787711.86440678</v>
      </c>
      <c r="D67" s="32" t="n">
        <f aca="false">'Reno Schedule'!D$73</f>
        <v>945254.237288136</v>
      </c>
      <c r="E67" s="32" t="n">
        <f aca="false">'Reno Schedule'!E$73</f>
        <v>126033.898305085</v>
      </c>
      <c r="F67" s="32" t="n">
        <f aca="false">'Reno Schedule'!F$73</f>
        <v>0</v>
      </c>
      <c r="G67" s="32" t="n">
        <f aca="false">'Reno Schedule'!G$73</f>
        <v>0</v>
      </c>
    </row>
    <row r="68" customFormat="false" ht="15" hidden="false" customHeight="false" outlineLevel="0" collapsed="false">
      <c r="A68" s="9" t="s">
        <v>598</v>
      </c>
      <c r="B68" s="11" t="s">
        <v>25</v>
      </c>
      <c r="C68" s="32" t="n">
        <f aca="false">'Capex Budget'!D14</f>
        <v>446000</v>
      </c>
      <c r="D68" s="32" t="n">
        <f aca="false">'Capex Budget'!E14</f>
        <v>273500</v>
      </c>
      <c r="E68" s="32" t="n">
        <f aca="false">'Capex Budget'!F14</f>
        <v>193500</v>
      </c>
      <c r="F68" s="32" t="n">
        <f aca="false">'Capex Budget'!G14</f>
        <v>72000</v>
      </c>
      <c r="G68" s="32" t="n">
        <f aca="false">'Capex Budget'!H14</f>
        <v>0</v>
      </c>
    </row>
    <row r="69" customFormat="false" ht="15" hidden="false" customHeight="false" outlineLevel="0" collapsed="false">
      <c r="A69" s="9" t="s">
        <v>599</v>
      </c>
      <c r="B69" s="11" t="s">
        <v>600</v>
      </c>
      <c r="C69" s="30" t="n">
        <f aca="false">(C67+C68)*Assumptions!$B$42</f>
        <v>98696.9491525424</v>
      </c>
      <c r="D69" s="30" t="n">
        <f aca="false">(D67+D68)*Assumptions!$B$42</f>
        <v>97500.3389830509</v>
      </c>
      <c r="E69" s="30" t="n">
        <f aca="false">(E67+E68)*Assumptions!$B$42</f>
        <v>25562.7118644068</v>
      </c>
      <c r="F69" s="30" t="n">
        <f aca="false">(F67+F68)*Assumptions!$B$42</f>
        <v>5760</v>
      </c>
      <c r="G69" s="30" t="n">
        <f aca="false">(G67+G68)*Assumptions!$B$42</f>
        <v>0</v>
      </c>
    </row>
    <row r="70" customFormat="false" ht="15" hidden="false" customHeight="false" outlineLevel="0" collapsed="false">
      <c r="A70" s="34" t="s">
        <v>601</v>
      </c>
      <c r="B70" s="70"/>
      <c r="C70" s="37" t="n">
        <f aca="false">SUM(C67:C69)</f>
        <v>1332408.81355932</v>
      </c>
      <c r="D70" s="37" t="n">
        <f aca="false">SUM(D67:D69)</f>
        <v>1316254.57627119</v>
      </c>
      <c r="E70" s="37" t="n">
        <f aca="false">SUM(E67:E69)</f>
        <v>345096.610169492</v>
      </c>
      <c r="F70" s="37" t="n">
        <f aca="false">SUM(F67:F69)</f>
        <v>77760</v>
      </c>
      <c r="G70" s="37" t="n">
        <f aca="false">SUM(G67:G69)</f>
        <v>0</v>
      </c>
    </row>
    <row r="72" customFormat="false" ht="33.75" hidden="false" customHeight="true" outlineLevel="0" collapsed="false">
      <c r="A72" s="11" t="s">
        <v>602</v>
      </c>
    </row>
  </sheetData>
  <mergeCells count="6">
    <mergeCell ref="A7:H7"/>
    <mergeCell ref="A12:H12"/>
    <mergeCell ref="A18:H18"/>
    <mergeCell ref="A34:H34"/>
    <mergeCell ref="A57:H57"/>
    <mergeCell ref="A66:H66"/>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3"/>
    <col collapsed="false" customWidth="true" hidden="false" outlineLevel="0" max="3" min="3" style="0" width="15"/>
    <col collapsed="false" customWidth="true" hidden="false" outlineLevel="0" max="9" min="4" style="0" width="14"/>
    <col collapsed="false" customWidth="true" hidden="false" outlineLevel="0" max="10" min="10" style="0" width="56"/>
  </cols>
  <sheetData>
    <row r="1" customFormat="false" ht="17.35" hidden="false" customHeight="false" outlineLevel="0" collapsed="false">
      <c r="A1" s="1" t="s">
        <v>0</v>
      </c>
    </row>
    <row r="2" customFormat="false" ht="15" hidden="false" customHeight="false" outlineLevel="0" collapsed="false">
      <c r="A2" s="2" t="s">
        <v>603</v>
      </c>
    </row>
    <row r="3" customFormat="false" ht="15" hidden="false" customHeight="false" outlineLevel="0" collapsed="false">
      <c r="A3" s="3" t="s">
        <v>2</v>
      </c>
    </row>
    <row r="5" customFormat="false" ht="15" hidden="false" customHeight="false" outlineLevel="0" collapsed="false">
      <c r="A5" s="4" t="s">
        <v>604</v>
      </c>
      <c r="B5" s="4"/>
      <c r="C5" s="4"/>
      <c r="D5" s="4"/>
      <c r="E5" s="4"/>
      <c r="F5" s="4"/>
      <c r="G5" s="4"/>
      <c r="H5" s="4"/>
      <c r="I5" s="4"/>
      <c r="J5" s="4"/>
    </row>
    <row r="6" customFormat="false" ht="15" hidden="false" customHeight="false" outlineLevel="0" collapsed="false">
      <c r="A6" s="7" t="s">
        <v>605</v>
      </c>
      <c r="C6" s="25" t="s">
        <v>606</v>
      </c>
      <c r="D6" s="25" t="s">
        <v>381</v>
      </c>
      <c r="E6" s="25" t="s">
        <v>607</v>
      </c>
      <c r="J6" s="7" t="s">
        <v>608</v>
      </c>
    </row>
    <row r="7" customFormat="false" ht="15" hidden="false" customHeight="false" outlineLevel="0" collapsed="false">
      <c r="A7" s="9" t="s">
        <v>75</v>
      </c>
      <c r="C7" s="30" t="n">
        <f aca="false">Assumptions!$B$6</f>
        <v>14200000</v>
      </c>
      <c r="D7" s="30" t="n">
        <f aca="false">C7/Assumptions!$B$17</f>
        <v>120338.983050847</v>
      </c>
      <c r="E7" s="39" t="n">
        <f aca="false">C7/$C$13</f>
        <v>0.802528599964951</v>
      </c>
      <c r="J7" s="11" t="s">
        <v>609</v>
      </c>
    </row>
    <row r="8" customFormat="false" ht="15" hidden="false" customHeight="false" outlineLevel="0" collapsed="false">
      <c r="A8" s="9" t="s">
        <v>610</v>
      </c>
      <c r="C8" s="30" t="n">
        <f aca="false">Assumptions!$B$6*Assumptions!$B$9</f>
        <v>213000</v>
      </c>
      <c r="D8" s="30" t="n">
        <f aca="false">C8/Assumptions!$B$17</f>
        <v>1805.08474576271</v>
      </c>
      <c r="E8" s="39" t="n">
        <f aca="false">C8/$C$13</f>
        <v>0.0120379289994743</v>
      </c>
      <c r="J8" s="11" t="s">
        <v>611</v>
      </c>
    </row>
    <row r="9" customFormat="false" ht="15" hidden="false" customHeight="false" outlineLevel="0" collapsed="false">
      <c r="A9" s="9" t="s">
        <v>612</v>
      </c>
      <c r="C9" s="30" t="n">
        <f aca="false">'Unit Mix'!$D$21</f>
        <v>1859000</v>
      </c>
      <c r="D9" s="30" t="n">
        <f aca="false">C9/Assumptions!$B$17</f>
        <v>15754.2372881356</v>
      </c>
      <c r="E9" s="39" t="n">
        <f aca="false">C9/$C$13</f>
        <v>0.105063427277102</v>
      </c>
      <c r="J9" s="11" t="s">
        <v>613</v>
      </c>
    </row>
    <row r="10" customFormat="false" ht="15" hidden="false" customHeight="false" outlineLevel="0" collapsed="false">
      <c r="A10" s="9" t="s">
        <v>598</v>
      </c>
      <c r="C10" s="30" t="n">
        <f aca="false">'Capex Budget'!B14</f>
        <v>985000</v>
      </c>
      <c r="D10" s="30" t="n">
        <f aca="false">C10/Assumptions!$B$17</f>
        <v>8347.45762711864</v>
      </c>
      <c r="E10" s="39" t="n">
        <f aca="false">C10/$C$13</f>
        <v>0.0556683571102448</v>
      </c>
      <c r="J10" s="11" t="s">
        <v>614</v>
      </c>
    </row>
    <row r="11" customFormat="false" ht="15" hidden="false" customHeight="false" outlineLevel="0" collapsed="false">
      <c r="A11" s="9" t="s">
        <v>615</v>
      </c>
      <c r="C11" s="30" t="n">
        <f aca="false">('Unit Mix'!$D$21+'Capex Budget'!B14)*Assumptions!$B$42</f>
        <v>227520</v>
      </c>
      <c r="D11" s="30" t="n">
        <f aca="false">C11/Assumptions!$B$17</f>
        <v>1928.13559322034</v>
      </c>
      <c r="E11" s="39" t="n">
        <f aca="false">C11/$C$13</f>
        <v>0.0128585427509877</v>
      </c>
      <c r="J11" s="11" t="s">
        <v>616</v>
      </c>
    </row>
    <row r="12" customFormat="false" ht="15" hidden="false" customHeight="false" outlineLevel="0" collapsed="false">
      <c r="A12" s="9" t="s">
        <v>617</v>
      </c>
      <c r="C12" s="30" t="n">
        <f aca="false">C27*Assumptions!$B$74+Assumptions!$B$75</f>
        <v>209553.458092543</v>
      </c>
      <c r="D12" s="30" t="n">
        <f aca="false">C12/Assumptions!$B$17</f>
        <v>1775.87676349613</v>
      </c>
      <c r="E12" s="39" t="n">
        <f aca="false">C12/$C$13</f>
        <v>0.011843143897241</v>
      </c>
      <c r="J12" s="11" t="s">
        <v>618</v>
      </c>
    </row>
    <row r="13" customFormat="false" ht="15" hidden="false" customHeight="false" outlineLevel="0" collapsed="false">
      <c r="A13" s="34" t="s">
        <v>619</v>
      </c>
      <c r="C13" s="37" t="n">
        <f aca="false">SUM(C7:C12)</f>
        <v>17694073.4580925</v>
      </c>
      <c r="D13" s="37" t="n">
        <f aca="false">C13/Assumptions!$B$17</f>
        <v>149949.775068581</v>
      </c>
      <c r="E13" s="53" t="n">
        <f aca="false">SUM(E7:E12)</f>
        <v>1</v>
      </c>
    </row>
    <row r="15" customFormat="false" ht="15" hidden="false" customHeight="false" outlineLevel="0" collapsed="false">
      <c r="A15" s="7" t="s">
        <v>620</v>
      </c>
      <c r="C15" s="25" t="s">
        <v>606</v>
      </c>
      <c r="D15" s="25" t="s">
        <v>381</v>
      </c>
      <c r="E15" s="25" t="s">
        <v>607</v>
      </c>
    </row>
    <row r="16" customFormat="false" ht="15" hidden="false" customHeight="false" outlineLevel="0" collapsed="false">
      <c r="A16" s="9" t="s">
        <v>621</v>
      </c>
      <c r="C16" s="44" t="n">
        <f aca="false">C27</f>
        <v>10955345.8092543</v>
      </c>
      <c r="D16" s="30" t="n">
        <f aca="false">C16/Assumptions!$B$17</f>
        <v>92841.9136377481</v>
      </c>
      <c r="E16" s="39" t="n">
        <f aca="false">C16/$C$18</f>
        <v>0.61915340383329</v>
      </c>
    </row>
    <row r="17" customFormat="false" ht="15" hidden="false" customHeight="false" outlineLevel="0" collapsed="false">
      <c r="A17" s="9" t="s">
        <v>622</v>
      </c>
      <c r="C17" s="44" t="n">
        <f aca="false">C13-C16</f>
        <v>6738727.64883827</v>
      </c>
      <c r="D17" s="30" t="n">
        <f aca="false">C17/Assumptions!$B$17</f>
        <v>57107.8614308328</v>
      </c>
      <c r="E17" s="39" t="n">
        <f aca="false">C17/$C$18</f>
        <v>0.38084659616671</v>
      </c>
    </row>
    <row r="18" customFormat="false" ht="15" hidden="false" customHeight="false" outlineLevel="0" collapsed="false">
      <c r="A18" s="34" t="s">
        <v>623</v>
      </c>
      <c r="C18" s="37" t="n">
        <f aca="false">SUM(C16:C17)</f>
        <v>17694073.4580925</v>
      </c>
      <c r="D18" s="37" t="n">
        <f aca="false">C18/Assumptions!$B$17</f>
        <v>149949.775068581</v>
      </c>
      <c r="E18" s="53" t="n">
        <f aca="false">SUM(E16:E17)</f>
        <v>1</v>
      </c>
    </row>
    <row r="19" customFormat="false" ht="15" hidden="false" customHeight="false" outlineLevel="0" collapsed="false">
      <c r="A19" s="3" t="s">
        <v>624</v>
      </c>
      <c r="C19" s="30" t="n">
        <f aca="false">C18-C13</f>
        <v>0</v>
      </c>
    </row>
    <row r="21" customFormat="false" ht="15" hidden="false" customHeight="false" outlineLevel="0" collapsed="false">
      <c r="A21" s="4" t="s">
        <v>625</v>
      </c>
      <c r="B21" s="4"/>
      <c r="C21" s="4"/>
      <c r="D21" s="4"/>
      <c r="E21" s="4"/>
      <c r="F21" s="4"/>
      <c r="G21" s="4"/>
      <c r="H21" s="4"/>
      <c r="I21" s="4"/>
      <c r="J21" s="4"/>
    </row>
    <row r="22" customFormat="false" ht="15" hidden="false" customHeight="false" outlineLevel="0" collapsed="false">
      <c r="A22" s="9" t="s">
        <v>626</v>
      </c>
      <c r="C22" s="30" t="n">
        <f aca="false">Assumptions!$B$6+'Unit Mix'!$D$21+'Capex Budget'!B14+C11</f>
        <v>17271520</v>
      </c>
      <c r="J22" s="11" t="s">
        <v>627</v>
      </c>
    </row>
    <row r="23" customFormat="false" ht="15" hidden="false" customHeight="false" outlineLevel="0" collapsed="false">
      <c r="A23" s="9" t="s">
        <v>628</v>
      </c>
      <c r="C23" s="30" t="n">
        <f aca="false">C22/Assumptions!$B$17</f>
        <v>146368.813559322</v>
      </c>
    </row>
    <row r="24" customFormat="false" ht="15" hidden="false" customHeight="false" outlineLevel="0" collapsed="false">
      <c r="A24" s="9" t="s">
        <v>629</v>
      </c>
      <c r="C24" s="30" t="n">
        <f aca="false">C22*Assumptions!$B$70</f>
        <v>11226488</v>
      </c>
      <c r="J24" s="11" t="s">
        <v>630</v>
      </c>
    </row>
    <row r="25" customFormat="false" ht="15" hidden="false" customHeight="false" outlineLevel="0" collapsed="false">
      <c r="A25" s="9" t="s">
        <v>631</v>
      </c>
      <c r="C25" s="30" t="n">
        <f aca="false">'Annual Model'!C50/Assumptions!$B$71</f>
        <v>10955345.8092543</v>
      </c>
      <c r="J25" s="11" t="s">
        <v>632</v>
      </c>
    </row>
    <row r="26" customFormat="false" ht="15" hidden="false" customHeight="false" outlineLevel="0" collapsed="false">
      <c r="A26" s="9" t="s">
        <v>633</v>
      </c>
      <c r="C26" s="30" t="n">
        <f aca="false">'Annual Model'!C50/(Assumptions!$B$72*Assumptions!$B$73)</f>
        <v>11985335.5861927</v>
      </c>
      <c r="J26" s="11" t="s">
        <v>634</v>
      </c>
    </row>
    <row r="27" customFormat="false" ht="15" hidden="false" customHeight="false" outlineLevel="0" collapsed="false">
      <c r="A27" s="9" t="s">
        <v>635</v>
      </c>
      <c r="C27" s="79" t="n">
        <f aca="false">MIN(C24,C25,C26)</f>
        <v>10955345.8092543</v>
      </c>
      <c r="J27" s="11" t="s">
        <v>636</v>
      </c>
    </row>
    <row r="28" customFormat="false" ht="15" hidden="false" customHeight="false" outlineLevel="0" collapsed="false">
      <c r="A28" s="9" t="s">
        <v>637</v>
      </c>
      <c r="C28" s="39" t="n">
        <f aca="false">C27/C22</f>
        <v>0.634301196956277</v>
      </c>
    </row>
    <row r="29" customFormat="false" ht="15" hidden="false" customHeight="false" outlineLevel="0" collapsed="false">
      <c r="A29" s="9" t="s">
        <v>638</v>
      </c>
      <c r="C29" s="30" t="n">
        <f aca="false">C27/Assumptions!$B$17</f>
        <v>92841.9136377481</v>
      </c>
    </row>
    <row r="30" customFormat="false" ht="15" hidden="false" customHeight="false" outlineLevel="0" collapsed="false">
      <c r="A30" s="9" t="s">
        <v>182</v>
      </c>
      <c r="C30" s="61" t="n">
        <f aca="false">Assumptions!$B$73</f>
        <v>0.0585</v>
      </c>
    </row>
    <row r="31" customFormat="false" ht="15" hidden="false" customHeight="false" outlineLevel="0" collapsed="false">
      <c r="A31" s="9" t="s">
        <v>639</v>
      </c>
      <c r="C31" s="30" t="n">
        <f aca="false">C27*Assumptions!$B$73</f>
        <v>640887.729841375</v>
      </c>
    </row>
    <row r="32" customFormat="false" ht="15" hidden="false" customHeight="false" outlineLevel="0" collapsed="false">
      <c r="A32" s="9" t="s">
        <v>640</v>
      </c>
      <c r="C32" s="39" t="n">
        <f aca="false">'Annual Model'!C50/C27</f>
        <v>0.08</v>
      </c>
      <c r="J32" s="11" t="s">
        <v>641</v>
      </c>
    </row>
    <row r="33" customFormat="false" ht="15" hidden="false" customHeight="false" outlineLevel="0" collapsed="false">
      <c r="A33" s="9" t="s">
        <v>642</v>
      </c>
      <c r="C33" s="80" t="n">
        <f aca="false">'Annual Model'!C50/C31</f>
        <v>1.36752136752137</v>
      </c>
      <c r="J33" s="11" t="s">
        <v>643</v>
      </c>
    </row>
    <row r="35" customFormat="false" ht="15" hidden="false" customHeight="false" outlineLevel="0" collapsed="false">
      <c r="A35" s="4" t="s">
        <v>644</v>
      </c>
      <c r="B35" s="4"/>
      <c r="C35" s="4"/>
      <c r="D35" s="4"/>
      <c r="E35" s="4"/>
      <c r="F35" s="4"/>
      <c r="G35" s="4"/>
      <c r="H35" s="4"/>
      <c r="I35" s="4"/>
      <c r="J35" s="4"/>
    </row>
    <row r="36" customFormat="false" ht="15" hidden="false" customHeight="false" outlineLevel="0" collapsed="false">
      <c r="A36" s="9" t="s">
        <v>645</v>
      </c>
      <c r="C36" s="30" t="n">
        <f aca="false">'Annual Model'!H50</f>
        <v>1236045.64700472</v>
      </c>
      <c r="J36" s="11" t="s">
        <v>646</v>
      </c>
    </row>
    <row r="37" customFormat="false" ht="22.35" hidden="false" customHeight="false" outlineLevel="0" collapsed="false">
      <c r="A37" s="9" t="s">
        <v>647</v>
      </c>
      <c r="C37" s="61" t="n">
        <f aca="false">Assumptions!$B$12</f>
        <v>0.0675</v>
      </c>
      <c r="J37" s="11" t="s">
        <v>648</v>
      </c>
    </row>
    <row r="38" customFormat="false" ht="15" hidden="false" customHeight="false" outlineLevel="0" collapsed="false">
      <c r="A38" s="9" t="s">
        <v>649</v>
      </c>
      <c r="C38" s="44" t="n">
        <f aca="false">C36/Assumptions!$B$12</f>
        <v>18311787.3630329</v>
      </c>
    </row>
    <row r="39" customFormat="false" ht="15" hidden="false" customHeight="false" outlineLevel="0" collapsed="false">
      <c r="A39" s="9" t="s">
        <v>650</v>
      </c>
      <c r="C39" s="30" t="n">
        <f aca="false">C38/Assumptions!$B$17</f>
        <v>155184.63866977</v>
      </c>
    </row>
    <row r="40" customFormat="false" ht="15" hidden="false" customHeight="false" outlineLevel="0" collapsed="false">
      <c r="A40" s="9" t="s">
        <v>651</v>
      </c>
      <c r="C40" s="30" t="n">
        <f aca="false">-C38*Assumptions!$B$13</f>
        <v>-274676.810445493</v>
      </c>
    </row>
    <row r="41" customFormat="false" ht="15" hidden="false" customHeight="false" outlineLevel="0" collapsed="false">
      <c r="A41" s="9" t="s">
        <v>652</v>
      </c>
      <c r="C41" s="44" t="n">
        <f aca="false">C38+C40</f>
        <v>18037110.5525874</v>
      </c>
    </row>
    <row r="42" customFormat="false" ht="15" hidden="false" customHeight="false" outlineLevel="0" collapsed="false">
      <c r="A42" s="9" t="s">
        <v>653</v>
      </c>
      <c r="C42" s="30" t="n">
        <f aca="false">-C27</f>
        <v>-10955345.8092543</v>
      </c>
    </row>
    <row r="43" customFormat="false" ht="15" hidden="false" customHeight="false" outlineLevel="0" collapsed="false">
      <c r="A43" s="9" t="s">
        <v>654</v>
      </c>
      <c r="C43" s="44" t="n">
        <f aca="false">C41+C42</f>
        <v>7081764.74333309</v>
      </c>
    </row>
    <row r="44" customFormat="false" ht="15" hidden="false" customHeight="false" outlineLevel="0" collapsed="false">
      <c r="A44" s="9" t="s">
        <v>655</v>
      </c>
      <c r="C44" s="30" t="n">
        <f aca="false">C41-C22-Assumptions!$B$6*Assumptions!$B$9</f>
        <v>552590.552587371</v>
      </c>
      <c r="J44" s="11" t="s">
        <v>656</v>
      </c>
    </row>
    <row r="46" customFormat="false" ht="15" hidden="false" customHeight="false" outlineLevel="0" collapsed="false">
      <c r="A46" s="4" t="s">
        <v>657</v>
      </c>
      <c r="B46" s="4"/>
      <c r="C46" s="4"/>
      <c r="D46" s="4"/>
      <c r="E46" s="4"/>
      <c r="F46" s="4"/>
      <c r="G46" s="4"/>
      <c r="H46" s="4"/>
      <c r="I46" s="4"/>
      <c r="J46" s="4"/>
    </row>
    <row r="47" customFormat="false" ht="15" hidden="false" customHeight="false" outlineLevel="0" collapsed="false">
      <c r="A47" s="5"/>
      <c r="C47" s="25" t="s">
        <v>658</v>
      </c>
      <c r="D47" s="25" t="s">
        <v>132</v>
      </c>
      <c r="E47" s="25" t="s">
        <v>133</v>
      </c>
      <c r="F47" s="25" t="s">
        <v>134</v>
      </c>
      <c r="G47" s="25" t="s">
        <v>135</v>
      </c>
      <c r="H47" s="25" t="s">
        <v>136</v>
      </c>
      <c r="I47" s="25" t="s">
        <v>524</v>
      </c>
    </row>
    <row r="48" customFormat="false" ht="15" hidden="false" customHeight="false" outlineLevel="0" collapsed="false">
      <c r="A48" s="5" t="s">
        <v>659</v>
      </c>
    </row>
    <row r="49" customFormat="false" ht="15" hidden="false" customHeight="false" outlineLevel="0" collapsed="false">
      <c r="A49" s="9" t="s">
        <v>586</v>
      </c>
      <c r="C49" s="30" t="n">
        <f aca="false">-(C22+Assumptions!$B$6*Assumptions!$B$9)</f>
        <v>-17484520</v>
      </c>
      <c r="D49" s="32" t="n">
        <f aca="false">'Annual Model'!C59</f>
        <v>841027.664740342</v>
      </c>
      <c r="E49" s="32" t="n">
        <f aca="false">'Annual Model'!D59</f>
        <v>965913.657862742</v>
      </c>
      <c r="F49" s="32" t="n">
        <f aca="false">'Annual Model'!E59</f>
        <v>1098489.60763718</v>
      </c>
      <c r="G49" s="32" t="n">
        <f aca="false">'Annual Model'!F59</f>
        <v>1142272.77086926</v>
      </c>
      <c r="H49" s="32" t="n">
        <f aca="false">'Annual Model'!G59</f>
        <v>1168852.44551382</v>
      </c>
    </row>
    <row r="50" customFormat="false" ht="15" hidden="false" customHeight="false" outlineLevel="0" collapsed="false">
      <c r="A50" s="9" t="s">
        <v>652</v>
      </c>
      <c r="H50" s="30" t="n">
        <f aca="false">C41</f>
        <v>18037110.5525874</v>
      </c>
    </row>
    <row r="51" customFormat="false" ht="15" hidden="false" customHeight="false" outlineLevel="0" collapsed="false">
      <c r="A51" s="34" t="s">
        <v>660</v>
      </c>
      <c r="C51" s="37" t="n">
        <f aca="false">C49</f>
        <v>-17484520</v>
      </c>
      <c r="D51" s="37" t="n">
        <f aca="false">SUM(D49:D50)</f>
        <v>841027.664740342</v>
      </c>
      <c r="E51" s="37" t="n">
        <f aca="false">SUM(E49:E50)</f>
        <v>965913.657862742</v>
      </c>
      <c r="F51" s="37" t="n">
        <f aca="false">SUM(F49:F50)</f>
        <v>1098489.60763718</v>
      </c>
      <c r="G51" s="37" t="n">
        <f aca="false">SUM(G49:G50)</f>
        <v>1142272.77086926</v>
      </c>
      <c r="H51" s="37" t="n">
        <f aca="false">SUM(H49:H50)</f>
        <v>19205962.9981012</v>
      </c>
      <c r="I51" s="37" t="n">
        <f aca="false">SUM(C51:H51)</f>
        <v>5769146.69921072</v>
      </c>
    </row>
    <row r="53" customFormat="false" ht="15" hidden="false" customHeight="false" outlineLevel="0" collapsed="false">
      <c r="A53" s="5" t="s">
        <v>661</v>
      </c>
    </row>
    <row r="54" customFormat="false" ht="15" hidden="false" customHeight="false" outlineLevel="0" collapsed="false">
      <c r="A54" s="9" t="s">
        <v>622</v>
      </c>
      <c r="C54" s="30" t="n">
        <f aca="false">-C17</f>
        <v>-6738727.64883827</v>
      </c>
    </row>
    <row r="55" customFormat="false" ht="15" hidden="false" customHeight="false" outlineLevel="0" collapsed="false">
      <c r="A55" s="9" t="s">
        <v>589</v>
      </c>
      <c r="D55" s="32" t="n">
        <f aca="false">'Annual Model'!C61</f>
        <v>200139.934898967</v>
      </c>
      <c r="E55" s="32" t="n">
        <f aca="false">'Annual Model'!D61</f>
        <v>325025.928021366</v>
      </c>
      <c r="F55" s="32" t="n">
        <f aca="false">'Annual Model'!E61</f>
        <v>457601.877795804</v>
      </c>
      <c r="G55" s="32" t="n">
        <f aca="false">'Annual Model'!F61</f>
        <v>501385.041027889</v>
      </c>
      <c r="H55" s="32" t="n">
        <f aca="false">'Annual Model'!G61</f>
        <v>527964.715672442</v>
      </c>
    </row>
    <row r="56" customFormat="false" ht="15" hidden="false" customHeight="false" outlineLevel="0" collapsed="false">
      <c r="A56" s="9" t="s">
        <v>662</v>
      </c>
      <c r="H56" s="30" t="n">
        <f aca="false">C43</f>
        <v>7081764.74333309</v>
      </c>
    </row>
    <row r="57" customFormat="false" ht="15" hidden="false" customHeight="false" outlineLevel="0" collapsed="false">
      <c r="A57" s="34" t="s">
        <v>663</v>
      </c>
      <c r="C57" s="37" t="n">
        <f aca="false">C54</f>
        <v>-6738727.64883827</v>
      </c>
      <c r="D57" s="37" t="n">
        <f aca="false">SUM(D55:D56)</f>
        <v>200139.934898967</v>
      </c>
      <c r="E57" s="37" t="n">
        <f aca="false">SUM(E55:E56)</f>
        <v>325025.928021366</v>
      </c>
      <c r="F57" s="37" t="n">
        <f aca="false">SUM(F55:F56)</f>
        <v>457601.877795804</v>
      </c>
      <c r="G57" s="37" t="n">
        <f aca="false">SUM(G55:G56)</f>
        <v>501385.041027889</v>
      </c>
      <c r="H57" s="37" t="n">
        <f aca="false">SUM(H55:H56)</f>
        <v>7609729.45900553</v>
      </c>
      <c r="I57" s="37" t="n">
        <f aca="false">SUM(C57:H57)</f>
        <v>2355154.59191129</v>
      </c>
    </row>
    <row r="58" customFormat="false" ht="15" hidden="false" customHeight="false" outlineLevel="0" collapsed="false">
      <c r="A58" s="3" t="s">
        <v>594</v>
      </c>
      <c r="D58" s="72" t="n">
        <f aca="false">D55/C17</f>
        <v>0.0296999590024195</v>
      </c>
      <c r="E58" s="72" t="n">
        <f aca="false">E55/C17</f>
        <v>0.048232536609103</v>
      </c>
      <c r="F58" s="72" t="n">
        <f aca="false">F55/C17</f>
        <v>0.0679062727627363</v>
      </c>
      <c r="G58" s="72" t="n">
        <f aca="false">G55/C17</f>
        <v>0.0744035175712029</v>
      </c>
      <c r="H58" s="72" t="n">
        <f aca="false">H55/C17</f>
        <v>0.0783478340697537</v>
      </c>
    </row>
    <row r="60" customFormat="false" ht="15" hidden="false" customHeight="false" outlineLevel="0" collapsed="false">
      <c r="A60" s="4" t="s">
        <v>664</v>
      </c>
      <c r="B60" s="4"/>
      <c r="C60" s="4"/>
      <c r="D60" s="4"/>
      <c r="E60" s="4"/>
      <c r="F60" s="4"/>
      <c r="G60" s="4"/>
      <c r="H60" s="4"/>
      <c r="I60" s="4"/>
      <c r="J60" s="4"/>
    </row>
    <row r="61" customFormat="false" ht="15" hidden="false" customHeight="false" outlineLevel="0" collapsed="false">
      <c r="A61" s="5"/>
      <c r="C61" s="25" t="s">
        <v>665</v>
      </c>
      <c r="D61" s="25" t="s">
        <v>666</v>
      </c>
      <c r="J61" s="7" t="s">
        <v>608</v>
      </c>
    </row>
    <row r="62" customFormat="false" ht="15" hidden="false" customHeight="false" outlineLevel="0" collapsed="false">
      <c r="A62" s="5" t="s">
        <v>667</v>
      </c>
      <c r="C62" s="81" t="n">
        <f aca="false">IRR(C51:H51)</f>
        <v>0.0646242453853123</v>
      </c>
      <c r="D62" s="81" t="n">
        <f aca="false">IRR(C57:H57)</f>
        <v>0.0670066633561341</v>
      </c>
    </row>
    <row r="63" customFormat="false" ht="15" hidden="false" customHeight="false" outlineLevel="0" collapsed="false">
      <c r="A63" s="5" t="s">
        <v>668</v>
      </c>
      <c r="C63" s="82" t="n">
        <f aca="false">SUM(D51:H51)/-C51</f>
        <v>1.32995739655482</v>
      </c>
      <c r="D63" s="82" t="n">
        <f aca="false">SUM(D57:H57)/-C57</f>
        <v>1.34949544107445</v>
      </c>
    </row>
    <row r="64" customFormat="false" ht="15" hidden="false" customHeight="false" outlineLevel="0" collapsed="false">
      <c r="A64" s="9" t="s">
        <v>669</v>
      </c>
      <c r="C64" s="30" t="n">
        <f aca="false">I51</f>
        <v>5769146.69921072</v>
      </c>
      <c r="D64" s="30" t="n">
        <f aca="false">I57</f>
        <v>2355154.59191129</v>
      </c>
    </row>
    <row r="65" customFormat="false" ht="15" hidden="false" customHeight="false" outlineLevel="0" collapsed="false">
      <c r="A65" s="9" t="s">
        <v>670</v>
      </c>
      <c r="D65" s="39" t="n">
        <f aca="false">AVERAGE(D55:H55)/C17</f>
        <v>0.0597180240030431</v>
      </c>
    </row>
    <row r="66" customFormat="false" ht="15" hidden="false" customHeight="false" outlineLevel="0" collapsed="false">
      <c r="A66" s="9" t="s">
        <v>671</v>
      </c>
      <c r="C66" s="61" t="n">
        <f aca="false">'Annual Model'!C50/Assumptions!$B$6</f>
        <v>0.0617202580803058</v>
      </c>
    </row>
    <row r="67" customFormat="false" ht="15" hidden="false" customHeight="false" outlineLevel="0" collapsed="false">
      <c r="A67" s="9" t="s">
        <v>672</v>
      </c>
      <c r="C67" s="61" t="n">
        <f aca="false">'Annual Model'!G50/C22</f>
        <v>0.0699819968009658</v>
      </c>
      <c r="J67" s="11" t="s">
        <v>673</v>
      </c>
    </row>
    <row r="68" customFormat="false" ht="15" hidden="false" customHeight="false" outlineLevel="0" collapsed="false">
      <c r="A68" s="9" t="s">
        <v>674</v>
      </c>
      <c r="C68" s="61" t="n">
        <f aca="false">Assumptions!$B$39*12/Assumptions!$B$35</f>
        <v>0.126681011296396</v>
      </c>
    </row>
    <row r="69" customFormat="false" ht="15" hidden="false" customHeight="false" outlineLevel="0" collapsed="false">
      <c r="A69" s="4" t="s">
        <v>675</v>
      </c>
      <c r="B69" s="4"/>
      <c r="C69" s="4"/>
      <c r="D69" s="4"/>
      <c r="E69" s="4"/>
      <c r="F69" s="4"/>
      <c r="G69" s="4"/>
      <c r="H69" s="4"/>
      <c r="I69" s="4"/>
      <c r="J69" s="4"/>
    </row>
    <row r="70" customFormat="false" ht="15" hidden="false" customHeight="false" outlineLevel="0" collapsed="false">
      <c r="A70" s="5"/>
      <c r="C70" s="25" t="s">
        <v>676</v>
      </c>
      <c r="D70" s="25" t="s">
        <v>677</v>
      </c>
      <c r="E70" s="25" t="s">
        <v>678</v>
      </c>
      <c r="J70" s="7" t="s">
        <v>608</v>
      </c>
    </row>
    <row r="71" customFormat="false" ht="15" hidden="false" customHeight="false" outlineLevel="0" collapsed="false">
      <c r="A71" s="9" t="s">
        <v>679</v>
      </c>
      <c r="C71" s="14" t="n">
        <v>0.14</v>
      </c>
      <c r="D71" s="21" t="n">
        <f aca="false">D62</f>
        <v>0.0670066633561341</v>
      </c>
      <c r="E71" s="33" t="str">
        <f aca="false">IF(D71&gt;=C71,"PASS","FAIL")</f>
        <v>FAIL</v>
      </c>
    </row>
    <row r="72" customFormat="false" ht="15" hidden="false" customHeight="false" outlineLevel="0" collapsed="false">
      <c r="A72" s="9" t="s">
        <v>668</v>
      </c>
      <c r="C72" s="27" t="n">
        <v>1.8</v>
      </c>
      <c r="D72" s="83" t="n">
        <f aca="false">D63</f>
        <v>1.34949544107445</v>
      </c>
      <c r="E72" s="33" t="str">
        <f aca="false">IF(D72&gt;=C72,"PASS","FAIL")</f>
        <v>FAIL</v>
      </c>
    </row>
    <row r="73" customFormat="false" ht="15" hidden="false" customHeight="false" outlineLevel="0" collapsed="false">
      <c r="A73" s="9" t="s">
        <v>680</v>
      </c>
      <c r="C73" s="14" t="n">
        <v>0.0075</v>
      </c>
      <c r="D73" s="21" t="n">
        <f aca="false">'Annual Model'!G50/C22-Assumptions!$B$12</f>
        <v>0.00248199680096582</v>
      </c>
      <c r="E73" s="33" t="str">
        <f aca="false">IF(D73&gt;=C73,"PASS","FAIL")</f>
        <v>FAIL</v>
      </c>
    </row>
    <row r="74" customFormat="false" ht="22.35" hidden="false" customHeight="false" outlineLevel="0" collapsed="false">
      <c r="A74" s="8" t="s">
        <v>681</v>
      </c>
      <c r="C74" s="84" t="n">
        <v>12250000</v>
      </c>
      <c r="D74" s="85" t="n">
        <f aca="false">C74/Assumptions!$B$17</f>
        <v>103813.559322034</v>
      </c>
      <c r="J74" s="11" t="s">
        <v>682</v>
      </c>
    </row>
    <row r="75" customFormat="false" ht="15" hidden="false" customHeight="false" outlineLevel="0" collapsed="false">
      <c r="A75" s="9" t="s">
        <v>683</v>
      </c>
      <c r="C75" s="61" t="n">
        <f aca="false">'Annual Model'!C50/C74</f>
        <v>0.0715451154890076</v>
      </c>
    </row>
    <row r="76" customFormat="false" ht="15" hidden="false" customHeight="false" outlineLevel="0" collapsed="false">
      <c r="A76" s="9" t="s">
        <v>684</v>
      </c>
      <c r="C76" s="39" t="n">
        <f aca="false">C74/Assumptions!$B$6-1</f>
        <v>-0.137323943661972</v>
      </c>
    </row>
    <row r="77" customFormat="false" ht="15" hidden="false" customHeight="false" outlineLevel="0" collapsed="false">
      <c r="A77" s="4" t="s">
        <v>685</v>
      </c>
      <c r="B77" s="4"/>
      <c r="C77" s="4"/>
      <c r="D77" s="4"/>
      <c r="E77" s="4"/>
      <c r="F77" s="4"/>
      <c r="G77" s="4"/>
      <c r="H77" s="4"/>
      <c r="I77" s="4"/>
      <c r="J77" s="4"/>
    </row>
    <row r="78" customFormat="false" ht="15" hidden="false" customHeight="false" outlineLevel="0" collapsed="false">
      <c r="A78" s="5"/>
      <c r="C78" s="25" t="s">
        <v>686</v>
      </c>
      <c r="D78" s="25" t="s">
        <v>687</v>
      </c>
      <c r="J78" s="11" t="s">
        <v>688</v>
      </c>
    </row>
    <row r="79" customFormat="false" ht="15" hidden="false" customHeight="false" outlineLevel="0" collapsed="false">
      <c r="A79" s="9" t="s">
        <v>75</v>
      </c>
      <c r="C79" s="30" t="n">
        <f aca="false">Assumptions!$B$6</f>
        <v>14200000</v>
      </c>
      <c r="D79" s="30" t="n">
        <f aca="false">$C$74</f>
        <v>12250000</v>
      </c>
    </row>
    <row r="80" customFormat="false" ht="15" hidden="false" customHeight="false" outlineLevel="0" collapsed="false">
      <c r="A80" s="9" t="s">
        <v>689</v>
      </c>
      <c r="C80" s="30" t="n">
        <f aca="false">Assumptions!$B$6/Assumptions!$B$17</f>
        <v>120338.983050847</v>
      </c>
      <c r="D80" s="30" t="n">
        <f aca="false">$C$74/Assumptions!$B$17</f>
        <v>103813.559322034</v>
      </c>
    </row>
    <row r="81" customFormat="false" ht="15" hidden="false" customHeight="false" outlineLevel="0" collapsed="false">
      <c r="A81" s="9" t="s">
        <v>690</v>
      </c>
      <c r="C81" s="30" t="n">
        <f aca="false">C22</f>
        <v>17271520</v>
      </c>
      <c r="D81" s="30" t="n">
        <f aca="false">$C$74+'Unit Mix'!$D$21+'Capex Budget'!B14+C11</f>
        <v>15321520</v>
      </c>
    </row>
    <row r="82" customFormat="false" ht="15" hidden="false" customHeight="false" outlineLevel="0" collapsed="false">
      <c r="A82" s="9" t="s">
        <v>691</v>
      </c>
      <c r="C82" s="30" t="n">
        <f aca="false">C22/Assumptions!$B$17</f>
        <v>146368.813559322</v>
      </c>
      <c r="D82" s="30" t="n">
        <f aca="false">D81/Assumptions!$B$17</f>
        <v>129843.389830508</v>
      </c>
    </row>
    <row r="83" customFormat="false" ht="15" hidden="false" customHeight="false" outlineLevel="0" collapsed="false">
      <c r="A83" s="9" t="s">
        <v>692</v>
      </c>
      <c r="C83" s="61" t="n">
        <f aca="false">'Annual Model'!C50/Assumptions!$B$6</f>
        <v>0.0617202580803058</v>
      </c>
      <c r="D83" s="61" t="n">
        <f aca="false">'Annual Model'!C50/$C$74</f>
        <v>0.0715451154890076</v>
      </c>
    </row>
    <row r="84" customFormat="false" ht="15" hidden="false" customHeight="false" outlineLevel="0" collapsed="false">
      <c r="A84" s="9" t="s">
        <v>693</v>
      </c>
      <c r="C84" s="61" t="n">
        <f aca="false">'Annual Model'!G50/C22</f>
        <v>0.0699819968009658</v>
      </c>
      <c r="D84" s="61" t="n">
        <f aca="false">'Annual Model'!G50/D81</f>
        <v>0.0788887432440004</v>
      </c>
    </row>
    <row r="85" customFormat="false" ht="15" hidden="false" customHeight="false" outlineLevel="0" collapsed="false">
      <c r="A85" s="9" t="s">
        <v>694</v>
      </c>
      <c r="C85" s="39" t="n">
        <f aca="false">C84-Assumptions!$B$12</f>
        <v>0.00248199680096582</v>
      </c>
      <c r="D85" s="39" t="n">
        <f aca="false">D84-Assumptions!$B$12</f>
        <v>0.0113887432440004</v>
      </c>
    </row>
    <row r="86" customFormat="false" ht="15" hidden="false" customHeight="false" outlineLevel="0" collapsed="false">
      <c r="A86" s="9" t="s">
        <v>695</v>
      </c>
      <c r="C86" s="30" t="n">
        <f aca="false">C27</f>
        <v>10955345.8092543</v>
      </c>
      <c r="D86" s="30" t="n">
        <f aca="false">MIN(D81*Assumptions!$B$70,C25,C26)</f>
        <v>9958988</v>
      </c>
    </row>
    <row r="87" customFormat="false" ht="15" hidden="false" customHeight="false" outlineLevel="0" collapsed="false">
      <c r="A87" s="9" t="s">
        <v>622</v>
      </c>
      <c r="C87" s="30" t="n">
        <f aca="false">C17</f>
        <v>6738727.64883827</v>
      </c>
      <c r="D87" s="44" t="n">
        <f aca="false">D79+D79*Assumptions!$B$9+'Unit Mix'!$D$21+'Capex Budget'!B14+C11+D86*Assumptions!$B$74+Assumptions!$B$75-D86</f>
        <v>5745871.88</v>
      </c>
    </row>
    <row r="88" customFormat="false" ht="15" hidden="false" customHeight="false" outlineLevel="0" collapsed="false">
      <c r="A88" s="9" t="s">
        <v>639</v>
      </c>
      <c r="C88" s="30" t="n">
        <f aca="false">C31</f>
        <v>640887.729841375</v>
      </c>
      <c r="D88" s="30" t="n">
        <f aca="false">D86*Assumptions!$B$73</f>
        <v>582600.798</v>
      </c>
    </row>
    <row r="89" customFormat="false" ht="15" hidden="false" customHeight="false" outlineLevel="0" collapsed="false">
      <c r="A89" s="9" t="s">
        <v>662</v>
      </c>
      <c r="C89" s="30" t="n">
        <f aca="false">C43</f>
        <v>7081764.74333309</v>
      </c>
      <c r="D89" s="30" t="n">
        <f aca="false">C41-D86</f>
        <v>8078122.55258737</v>
      </c>
    </row>
    <row r="91" customFormat="false" ht="15" hidden="false" customHeight="false" outlineLevel="0" collapsed="false">
      <c r="A91" s="9" t="s">
        <v>696</v>
      </c>
      <c r="C91" s="30" t="n">
        <f aca="false">-(D81+D79*Assumptions!$B$9)</f>
        <v>-15505270</v>
      </c>
      <c r="D91" s="30" t="n">
        <f aca="false">'Annual Model'!C59</f>
        <v>841027.664740342</v>
      </c>
      <c r="E91" s="30" t="n">
        <f aca="false">'Annual Model'!D59</f>
        <v>965913.657862742</v>
      </c>
      <c r="F91" s="30" t="n">
        <f aca="false">'Annual Model'!E59</f>
        <v>1098489.60763718</v>
      </c>
      <c r="G91" s="30" t="n">
        <f aca="false">'Annual Model'!F59</f>
        <v>1142272.77086926</v>
      </c>
      <c r="H91" s="30" t="n">
        <f aca="false">'Annual Model'!G59+C41</f>
        <v>19205962.9981012</v>
      </c>
    </row>
    <row r="92" customFormat="false" ht="15" hidden="false" customHeight="false" outlineLevel="0" collapsed="false">
      <c r="A92" s="9" t="s">
        <v>697</v>
      </c>
      <c r="C92" s="30" t="n">
        <f aca="false">-D87</f>
        <v>-5745871.88</v>
      </c>
      <c r="D92" s="30" t="n">
        <f aca="false">'Annual Model'!C59-$D$88</f>
        <v>258426.866740342</v>
      </c>
      <c r="E92" s="30" t="n">
        <f aca="false">'Annual Model'!D59-$D$88</f>
        <v>383312.859862741</v>
      </c>
      <c r="F92" s="30" t="n">
        <f aca="false">'Annual Model'!E59-$D$88</f>
        <v>515888.809637179</v>
      </c>
      <c r="G92" s="30" t="n">
        <f aca="false">'Annual Model'!F59-$D$88</f>
        <v>559671.972869264</v>
      </c>
      <c r="H92" s="30" t="n">
        <f aca="false">'Annual Model'!G59-$D$88+D89</f>
        <v>8664374.20010119</v>
      </c>
    </row>
    <row r="93" customFormat="false" ht="15" hidden="false" customHeight="false" outlineLevel="0" collapsed="false">
      <c r="A93" s="34" t="s">
        <v>698</v>
      </c>
      <c r="C93" s="53" t="n">
        <f aca="false">IRR(C51:H51)</f>
        <v>0.0646242453853123</v>
      </c>
      <c r="D93" s="86" t="n">
        <f aca="false">IRR(C91:H91)</f>
        <v>0.0934170733005768</v>
      </c>
      <c r="E93" s="87" t="n">
        <f aca="false">SUM(D91:H91)/-C91</f>
        <v>1.49972665417698</v>
      </c>
    </row>
    <row r="94" customFormat="false" ht="15" hidden="false" customHeight="false" outlineLevel="0" collapsed="false">
      <c r="A94" s="54" t="s">
        <v>699</v>
      </c>
      <c r="C94" s="57" t="n">
        <f aca="false">IRR(C57:H57)</f>
        <v>0.0670066633561341</v>
      </c>
      <c r="D94" s="88" t="n">
        <f aca="false">IRR(C92:H92)</f>
        <v>0.138028284189719</v>
      </c>
      <c r="E94" s="89" t="n">
        <f aca="false">SUM(D92:H92)/-C92</f>
        <v>1.80680581224702</v>
      </c>
    </row>
    <row r="95" customFormat="false" ht="15" hidden="false" customHeight="false" outlineLevel="0" collapsed="false">
      <c r="A95" s="9" t="s">
        <v>670</v>
      </c>
      <c r="C95" s="39" t="n">
        <f aca="false">AVERAGE(D55:H55)/C17</f>
        <v>0.0597180240030431</v>
      </c>
      <c r="D95" s="39" t="n">
        <f aca="false">(AVERAGE('Annual Model'!C59:G59)-D88)/D87</f>
        <v>0.0801811180176661</v>
      </c>
    </row>
    <row r="96" customFormat="false" ht="15" hidden="false" customHeight="false" outlineLevel="0" collapsed="false">
      <c r="A96" s="4" t="s">
        <v>700</v>
      </c>
      <c r="B96" s="4"/>
      <c r="C96" s="4"/>
      <c r="D96" s="4"/>
      <c r="E96" s="4"/>
      <c r="F96" s="4"/>
      <c r="G96" s="4"/>
      <c r="H96" s="4"/>
      <c r="I96" s="4"/>
      <c r="J96" s="4"/>
    </row>
    <row r="97" customFormat="false" ht="15" hidden="false" customHeight="false" outlineLevel="0" collapsed="false">
      <c r="A97" s="7" t="s">
        <v>701</v>
      </c>
      <c r="C97" s="25" t="s">
        <v>606</v>
      </c>
      <c r="D97" s="25" t="s">
        <v>381</v>
      </c>
      <c r="J97" s="7" t="s">
        <v>702</v>
      </c>
    </row>
    <row r="98" customFormat="false" ht="15" hidden="false" customHeight="false" outlineLevel="0" collapsed="false">
      <c r="A98" s="9" t="s">
        <v>75</v>
      </c>
      <c r="C98" s="30" t="n">
        <f aca="false">-Assumptions!$B$6</f>
        <v>-14200000</v>
      </c>
      <c r="D98" s="30" t="n">
        <f aca="false">C98/Assumptions!$B$17</f>
        <v>-120338.983050847</v>
      </c>
      <c r="J98" s="11" t="s">
        <v>703</v>
      </c>
    </row>
    <row r="99" customFormat="false" ht="15" hidden="false" customHeight="false" outlineLevel="0" collapsed="false">
      <c r="A99" s="9" t="s">
        <v>610</v>
      </c>
      <c r="C99" s="30" t="n">
        <f aca="false">-Assumptions!$B$6*Assumptions!$B$9</f>
        <v>-213000</v>
      </c>
      <c r="D99" s="30" t="n">
        <f aca="false">C99/Assumptions!$B$17</f>
        <v>-1805.08474576271</v>
      </c>
    </row>
    <row r="100" customFormat="false" ht="15" hidden="false" customHeight="false" outlineLevel="0" collapsed="false">
      <c r="A100" s="9" t="s">
        <v>612</v>
      </c>
      <c r="C100" s="30" t="n">
        <f aca="false">-'Unit Mix'!$D$21</f>
        <v>-1859000</v>
      </c>
      <c r="D100" s="30" t="n">
        <f aca="false">C100/Assumptions!$B$17</f>
        <v>-15754.2372881356</v>
      </c>
      <c r="J100" s="11" t="s">
        <v>704</v>
      </c>
    </row>
    <row r="101" customFormat="false" ht="22.35" hidden="false" customHeight="false" outlineLevel="0" collapsed="false">
      <c r="A101" s="9" t="s">
        <v>598</v>
      </c>
      <c r="C101" s="30" t="n">
        <f aca="false">-'Capex Budget'!B14</f>
        <v>-985000</v>
      </c>
      <c r="D101" s="30" t="n">
        <f aca="false">C101/Assumptions!$B$17</f>
        <v>-8347.45762711864</v>
      </c>
      <c r="J101" s="11" t="s">
        <v>705</v>
      </c>
    </row>
    <row r="102" customFormat="false" ht="15" hidden="false" customHeight="false" outlineLevel="0" collapsed="false">
      <c r="A102" s="9" t="s">
        <v>615</v>
      </c>
      <c r="C102" s="30" t="n">
        <f aca="false">-C11</f>
        <v>-227520</v>
      </c>
      <c r="D102" s="30" t="n">
        <f aca="false">C102/Assumptions!$B$17</f>
        <v>-1928.13559322034</v>
      </c>
    </row>
    <row r="103" customFormat="false" ht="15" hidden="false" customHeight="false" outlineLevel="0" collapsed="false">
      <c r="A103" s="9" t="s">
        <v>706</v>
      </c>
      <c r="C103" s="30" t="n">
        <f aca="false">SUM('Annual Model'!C50:G50)</f>
        <v>5404499.55429734</v>
      </c>
      <c r="D103" s="30" t="n">
        <f aca="false">C103/Assumptions!$B$17</f>
        <v>45800.843680486</v>
      </c>
      <c r="J103" s="11" t="s">
        <v>707</v>
      </c>
    </row>
    <row r="104" customFormat="false" ht="15" hidden="false" customHeight="false" outlineLevel="0" collapsed="false">
      <c r="A104" s="9" t="s">
        <v>708</v>
      </c>
      <c r="C104" s="30" t="n">
        <f aca="false">SUM('Annual Model'!C58:G58)</f>
        <v>-187943.407674</v>
      </c>
      <c r="D104" s="30" t="n">
        <f aca="false">C104/Assumptions!$B$17</f>
        <v>-1592.740743</v>
      </c>
    </row>
    <row r="105" customFormat="false" ht="15" hidden="false" customHeight="false" outlineLevel="0" collapsed="false">
      <c r="A105" s="9" t="s">
        <v>652</v>
      </c>
      <c r="C105" s="30" t="n">
        <f aca="false">C41</f>
        <v>18037110.5525874</v>
      </c>
      <c r="D105" s="30" t="n">
        <f aca="false">C105/Assumptions!$B$17</f>
        <v>152856.869089723</v>
      </c>
      <c r="J105" s="11" t="s">
        <v>709</v>
      </c>
    </row>
    <row r="106" customFormat="false" ht="15" hidden="false" customHeight="false" outlineLevel="0" collapsed="false">
      <c r="A106" s="54" t="s">
        <v>710</v>
      </c>
      <c r="C106" s="55" t="n">
        <f aca="false">SUM(C98:C105)</f>
        <v>5769146.69921072</v>
      </c>
      <c r="D106" s="55" t="n">
        <f aca="false">C106/Assumptions!$B$17</f>
        <v>48891.0737221247</v>
      </c>
    </row>
    <row r="108" customFormat="false" ht="22.35" hidden="false" customHeight="false" outlineLevel="0" collapsed="false">
      <c r="A108" s="9" t="s">
        <v>711</v>
      </c>
      <c r="C108" s="30" t="n">
        <f aca="false">Assumptions!$B$39*Assumptions!$B$17*12*(1-Assumptions!G$47-Assumptions!G$48-Assumptions!G$49-Assumptions!G$50)*(1-Assumptions!$B$56)</f>
        <v>207993.6</v>
      </c>
      <c r="J108" s="11" t="s">
        <v>712</v>
      </c>
    </row>
    <row r="109" customFormat="false" ht="15" hidden="false" customHeight="false" outlineLevel="0" collapsed="false">
      <c r="A109" s="9" t="s">
        <v>713</v>
      </c>
      <c r="C109" s="30" t="n">
        <f aca="false">C108/Assumptions!$B$12</f>
        <v>3081386.66666667</v>
      </c>
    </row>
    <row r="110" customFormat="false" ht="15" hidden="false" customHeight="false" outlineLevel="0" collapsed="false">
      <c r="A110" s="9" t="s">
        <v>714</v>
      </c>
      <c r="C110" s="30" t="n">
        <f aca="false">-'Unit Mix'!$D$21*(1+Assumptions!$B$42)</f>
        <v>-2007720</v>
      </c>
    </row>
    <row r="111" customFormat="false" ht="15" hidden="false" customHeight="false" outlineLevel="0" collapsed="false">
      <c r="A111" s="34" t="s">
        <v>715</v>
      </c>
      <c r="C111" s="37" t="n">
        <f aca="false">C109+C110</f>
        <v>1073666.66666667</v>
      </c>
    </row>
    <row r="112" customFormat="false" ht="15" hidden="false" customHeight="false" outlineLevel="0" collapsed="false">
      <c r="A112" s="9" t="s">
        <v>716</v>
      </c>
      <c r="C112" s="30" t="n">
        <f aca="false">-'Capex Budget'!B14*(1+Assumptions!$B$42)</f>
        <v>-1063800</v>
      </c>
    </row>
    <row r="113" customFormat="false" ht="79.5" hidden="false" customHeight="true" outlineLevel="0" collapsed="false">
      <c r="A113" s="76" t="s">
        <v>717</v>
      </c>
      <c r="C113" s="77" t="n">
        <f aca="false">C111+C112</f>
        <v>9866.66666666581</v>
      </c>
      <c r="J113" s="11" t="s">
        <v>718</v>
      </c>
    </row>
    <row r="115" customFormat="false" ht="33.75" hidden="false" customHeight="true" outlineLevel="0" collapsed="false">
      <c r="A115" s="59" t="s">
        <v>719</v>
      </c>
      <c r="B115" s="59"/>
      <c r="C115" s="59"/>
      <c r="D115" s="59"/>
      <c r="E115" s="59"/>
      <c r="F115" s="59"/>
      <c r="G115" s="59"/>
      <c r="H115" s="59"/>
      <c r="I115" s="59"/>
      <c r="J115" s="59"/>
    </row>
  </sheetData>
  <mergeCells count="9">
    <mergeCell ref="A5:J5"/>
    <mergeCell ref="A21:J21"/>
    <mergeCell ref="A35:J35"/>
    <mergeCell ref="A46:J46"/>
    <mergeCell ref="A60:J60"/>
    <mergeCell ref="A69:J69"/>
    <mergeCell ref="A77:J77"/>
    <mergeCell ref="A96:J96"/>
    <mergeCell ref="A115:J115"/>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13" min="2" style="0" width="13"/>
  </cols>
  <sheetData>
    <row r="1" customFormat="false" ht="17.35" hidden="false" customHeight="false" outlineLevel="0" collapsed="false">
      <c r="A1" s="1" t="s">
        <v>0</v>
      </c>
    </row>
    <row r="2" customFormat="false" ht="15" hidden="false" customHeight="false" outlineLevel="0" collapsed="false">
      <c r="A2" s="2" t="s">
        <v>720</v>
      </c>
    </row>
    <row r="3" customFormat="false" ht="15" hidden="false" customHeight="false" outlineLevel="0" collapsed="false">
      <c r="A3" s="3" t="s">
        <v>2</v>
      </c>
    </row>
    <row r="5" customFormat="false" ht="15" hidden="false" customHeight="false" outlineLevel="0" collapsed="false">
      <c r="A5" s="4" t="s">
        <v>721</v>
      </c>
      <c r="B5" s="4"/>
      <c r="C5" s="4"/>
      <c r="D5" s="4"/>
      <c r="E5" s="4"/>
      <c r="F5" s="4"/>
      <c r="G5" s="4"/>
      <c r="H5" s="4"/>
      <c r="I5" s="4"/>
      <c r="J5" s="4"/>
      <c r="K5" s="4"/>
      <c r="L5" s="4"/>
    </row>
    <row r="6" customFormat="false" ht="23.85" hidden="false" customHeight="false" outlineLevel="0" collapsed="false">
      <c r="A6" s="64" t="s">
        <v>722</v>
      </c>
      <c r="B6" s="25" t="s">
        <v>723</v>
      </c>
      <c r="C6" s="25" t="s">
        <v>724</v>
      </c>
      <c r="D6" s="25" t="s">
        <v>725</v>
      </c>
      <c r="E6" s="25" t="s">
        <v>726</v>
      </c>
      <c r="F6" s="25" t="s">
        <v>132</v>
      </c>
      <c r="G6" s="25" t="s">
        <v>133</v>
      </c>
      <c r="H6" s="25" t="s">
        <v>134</v>
      </c>
      <c r="I6" s="25" t="s">
        <v>135</v>
      </c>
      <c r="J6" s="25" t="s">
        <v>136</v>
      </c>
      <c r="K6" s="25" t="s">
        <v>679</v>
      </c>
      <c r="L6" s="25" t="s">
        <v>727</v>
      </c>
    </row>
    <row r="7" customFormat="false" ht="15" hidden="false" customHeight="false" outlineLevel="0" collapsed="false">
      <c r="A7" s="42" t="n">
        <v>11500000</v>
      </c>
      <c r="B7" s="90" t="n">
        <v>0.06</v>
      </c>
      <c r="C7" s="30" t="n">
        <f aca="false">MIN((A7+('Unit Mix'!$D$21+'Capex Budget'!$B$14)*(1+Assumptions!$B$42))*Assumptions!$B$70,'Annual Model'!C50/Assumptions!$B$71,'Annual Model'!C50/(Assumptions!$B$72*Assumptions!$B$73))</f>
        <v>9471488</v>
      </c>
      <c r="D7" s="30" t="n">
        <f aca="false">A7+('Unit Mix'!$D$21+'Capex Budget'!$B$14)*(1+Assumptions!$B$42)+A7*Assumptions!$B$9+C7*Assumptions!$B$74+Assumptions!$B$75-C7</f>
        <v>5467246.88</v>
      </c>
      <c r="E7" s="30" t="n">
        <f aca="false">-D7</f>
        <v>-5467246.88</v>
      </c>
      <c r="F7" s="30" t="n">
        <f aca="false">'Annual Model'!C59-C7*Assumptions!$B$73</f>
        <v>286945.616740342</v>
      </c>
      <c r="G7" s="30" t="n">
        <f aca="false">'Annual Model'!D59-C7*Assumptions!$B$73</f>
        <v>411831.609862741</v>
      </c>
      <c r="H7" s="30" t="n">
        <f aca="false">'Annual Model'!E59-C7*Assumptions!$B$73</f>
        <v>544407.559637179</v>
      </c>
      <c r="I7" s="30" t="n">
        <f aca="false">'Annual Model'!F59-C7*Assumptions!$B$73</f>
        <v>588190.722869264</v>
      </c>
      <c r="J7" s="30" t="n">
        <f aca="false">'Annual Model'!G59-C7*Assumptions!$B$73+('Annual Model'!H50/B7)*(1-Assumptions!$B$13)-C7</f>
        <v>11435031.7691746</v>
      </c>
      <c r="K7" s="91" t="n">
        <f aca="false">IRR(E7:J7)</f>
        <v>0.212033598900436</v>
      </c>
      <c r="L7" s="80" t="n">
        <f aca="false">SUM(F7:J7)/-E7</f>
        <v>2.42652427619733</v>
      </c>
    </row>
    <row r="8" customFormat="false" ht="15" hidden="false" customHeight="false" outlineLevel="0" collapsed="false">
      <c r="A8" s="42" t="n">
        <v>11500000</v>
      </c>
      <c r="B8" s="90" t="n">
        <v>0.065</v>
      </c>
      <c r="C8" s="30" t="n">
        <f aca="false">MIN((A8+('Unit Mix'!$D$21+'Capex Budget'!$B$14)*(1+Assumptions!$B$42))*Assumptions!$B$70,'Annual Model'!C50/Assumptions!$B$71,'Annual Model'!C50/(Assumptions!$B$72*Assumptions!$B$73))</f>
        <v>9471488</v>
      </c>
      <c r="D8" s="30" t="n">
        <f aca="false">A8+('Unit Mix'!$D$21+'Capex Budget'!$B$14)*(1+Assumptions!$B$42)+A8*Assumptions!$B$9+C8*Assumptions!$B$74+Assumptions!$B$75-C8</f>
        <v>5467246.88</v>
      </c>
      <c r="E8" s="30" t="n">
        <f aca="false">-D8</f>
        <v>-5467246.88</v>
      </c>
      <c r="F8" s="30" t="n">
        <f aca="false">'Annual Model'!C59-C8*Assumptions!$B$73</f>
        <v>286945.616740342</v>
      </c>
      <c r="G8" s="30" t="n">
        <f aca="false">'Annual Model'!D59-C8*Assumptions!$B$73</f>
        <v>411831.609862741</v>
      </c>
      <c r="H8" s="30" t="n">
        <f aca="false">'Annual Model'!E59-C8*Assumptions!$B$73</f>
        <v>544407.559637179</v>
      </c>
      <c r="I8" s="30" t="n">
        <f aca="false">'Annual Model'!F59-C8*Assumptions!$B$73</f>
        <v>588190.722869264</v>
      </c>
      <c r="J8" s="30" t="n">
        <f aca="false">'Annual Model'!G59-C8*Assumptions!$B$73+('Annual Model'!H50/B8)*(1-Assumptions!$B$13)-C8</f>
        <v>9874127.97135455</v>
      </c>
      <c r="K8" s="91" t="n">
        <f aca="false">IRR(E8:J8)</f>
        <v>0.181080940870437</v>
      </c>
      <c r="L8" s="80" t="n">
        <f aca="false">SUM(F8:J8)/-E8</f>
        <v>2.14102339575784</v>
      </c>
    </row>
    <row r="9" customFormat="false" ht="15" hidden="false" customHeight="false" outlineLevel="0" collapsed="false">
      <c r="A9" s="42" t="n">
        <v>11500000</v>
      </c>
      <c r="B9" s="90" t="n">
        <v>0.0675</v>
      </c>
      <c r="C9" s="30" t="n">
        <f aca="false">MIN((A9+('Unit Mix'!$D$21+'Capex Budget'!$B$14)*(1+Assumptions!$B$42))*Assumptions!$B$70,'Annual Model'!C50/Assumptions!$B$71,'Annual Model'!C50/(Assumptions!$B$72*Assumptions!$B$73))</f>
        <v>9471488</v>
      </c>
      <c r="D9" s="30" t="n">
        <f aca="false">A9+('Unit Mix'!$D$21+'Capex Budget'!$B$14)*(1+Assumptions!$B$42)+A9*Assumptions!$B$9+C9*Assumptions!$B$74+Assumptions!$B$75-C9</f>
        <v>5467246.88</v>
      </c>
      <c r="E9" s="30" t="n">
        <f aca="false">-D9</f>
        <v>-5467246.88</v>
      </c>
      <c r="F9" s="30" t="n">
        <f aca="false">'Annual Model'!C59-C9*Assumptions!$B$73</f>
        <v>286945.616740342</v>
      </c>
      <c r="G9" s="30" t="n">
        <f aca="false">'Annual Model'!D59-C9*Assumptions!$B$73</f>
        <v>411831.609862741</v>
      </c>
      <c r="H9" s="30" t="n">
        <f aca="false">'Annual Model'!E59-C9*Assumptions!$B$73</f>
        <v>544407.559637179</v>
      </c>
      <c r="I9" s="30" t="n">
        <f aca="false">'Annual Model'!F59-C9*Assumptions!$B$73</f>
        <v>588190.722869264</v>
      </c>
      <c r="J9" s="30" t="n">
        <f aca="false">'Annual Model'!G59-C9*Assumptions!$B$73+('Annual Model'!H50/B9)*(1-Assumptions!$B$13)-C9</f>
        <v>9180392.95010119</v>
      </c>
      <c r="K9" s="91" t="n">
        <f aca="false">IRR(E9:J9)</f>
        <v>0.166143108763203</v>
      </c>
      <c r="L9" s="80" t="n">
        <f aca="false">SUM(F9:J9)/-E9</f>
        <v>2.01413411556251</v>
      </c>
    </row>
    <row r="10" customFormat="false" ht="15" hidden="false" customHeight="false" outlineLevel="0" collapsed="false">
      <c r="A10" s="42" t="n">
        <v>11500000</v>
      </c>
      <c r="B10" s="90" t="n">
        <v>0.07</v>
      </c>
      <c r="C10" s="30" t="n">
        <f aca="false">MIN((A10+('Unit Mix'!$D$21+'Capex Budget'!$B$14)*(1+Assumptions!$B$42))*Assumptions!$B$70,'Annual Model'!C50/Assumptions!$B$71,'Annual Model'!C50/(Assumptions!$B$72*Assumptions!$B$73))</f>
        <v>9471488</v>
      </c>
      <c r="D10" s="30" t="n">
        <f aca="false">A10+('Unit Mix'!$D$21+'Capex Budget'!$B$14)*(1+Assumptions!$B$42)+A10*Assumptions!$B$9+C10*Assumptions!$B$74+Assumptions!$B$75-C10</f>
        <v>5467246.88</v>
      </c>
      <c r="E10" s="30" t="n">
        <f aca="false">-D10</f>
        <v>-5467246.88</v>
      </c>
      <c r="F10" s="30" t="n">
        <f aca="false">'Annual Model'!C59-C10*Assumptions!$B$73</f>
        <v>286945.616740342</v>
      </c>
      <c r="G10" s="30" t="n">
        <f aca="false">'Annual Model'!D59-C10*Assumptions!$B$73</f>
        <v>411831.609862741</v>
      </c>
      <c r="H10" s="30" t="n">
        <f aca="false">'Annual Model'!E59-C10*Assumptions!$B$73</f>
        <v>544407.559637179</v>
      </c>
      <c r="I10" s="30" t="n">
        <f aca="false">'Annual Model'!F59-C10*Assumptions!$B$73</f>
        <v>588190.722869264</v>
      </c>
      <c r="J10" s="30" t="n">
        <f aca="false">'Annual Model'!G59-C10*Assumptions!$B$73+('Annual Model'!H50/B10)*(1-Assumptions!$B$13)-C10</f>
        <v>8536210.43036592</v>
      </c>
      <c r="K10" s="91" t="n">
        <f aca="false">IRR(E10:J10)</f>
        <v>0.151504009805426</v>
      </c>
      <c r="L10" s="80" t="n">
        <f aca="false">SUM(F10:J10)/-E10</f>
        <v>1.89630835538114</v>
      </c>
    </row>
    <row r="11" customFormat="false" ht="15" hidden="false" customHeight="false" outlineLevel="0" collapsed="false">
      <c r="A11" s="42" t="n">
        <v>11500000</v>
      </c>
      <c r="B11" s="90" t="n">
        <v>0.075</v>
      </c>
      <c r="C11" s="30" t="n">
        <f aca="false">MIN((A11+('Unit Mix'!$D$21+'Capex Budget'!$B$14)*(1+Assumptions!$B$42))*Assumptions!$B$70,'Annual Model'!C50/Assumptions!$B$71,'Annual Model'!C50/(Assumptions!$B$72*Assumptions!$B$73))</f>
        <v>9471488</v>
      </c>
      <c r="D11" s="30" t="n">
        <f aca="false">A11+('Unit Mix'!$D$21+'Capex Budget'!$B$14)*(1+Assumptions!$B$42)+A11*Assumptions!$B$9+C11*Assumptions!$B$74+Assumptions!$B$75-C11</f>
        <v>5467246.88</v>
      </c>
      <c r="E11" s="30" t="n">
        <f aca="false">-D11</f>
        <v>-5467246.88</v>
      </c>
      <c r="F11" s="30" t="n">
        <f aca="false">'Annual Model'!C59-C11*Assumptions!$B$73</f>
        <v>286945.616740342</v>
      </c>
      <c r="G11" s="30" t="n">
        <f aca="false">'Annual Model'!D59-C11*Assumptions!$B$73</f>
        <v>411831.609862741</v>
      </c>
      <c r="H11" s="30" t="n">
        <f aca="false">'Annual Model'!E59-C11*Assumptions!$B$73</f>
        <v>544407.559637179</v>
      </c>
      <c r="I11" s="30" t="n">
        <f aca="false">'Annual Model'!F59-C11*Assumptions!$B$73</f>
        <v>588190.722869264</v>
      </c>
      <c r="J11" s="30" t="n">
        <f aca="false">'Annual Model'!G59-C11*Assumptions!$B$73+('Annual Model'!H50/B11)*(1-Assumptions!$B$13)-C11</f>
        <v>7376681.89484245</v>
      </c>
      <c r="K11" s="91" t="n">
        <f aca="false">IRR(E11:J11)</f>
        <v>0.122961615411579</v>
      </c>
      <c r="L11" s="80" t="n">
        <f aca="false">SUM(F11:J11)/-E11</f>
        <v>1.68422198705466</v>
      </c>
    </row>
    <row r="12" customFormat="false" ht="15" hidden="false" customHeight="false" outlineLevel="0" collapsed="false">
      <c r="A12" s="42" t="n">
        <v>12000000</v>
      </c>
      <c r="B12" s="90" t="n">
        <v>0.06</v>
      </c>
      <c r="C12" s="30" t="n">
        <f aca="false">MIN((A12+('Unit Mix'!$D$21+'Capex Budget'!$B$14)*(1+Assumptions!$B$42))*Assumptions!$B$70,'Annual Model'!C50/Assumptions!$B$71,'Annual Model'!C50/(Assumptions!$B$72*Assumptions!$B$73))</f>
        <v>9796488</v>
      </c>
      <c r="D12" s="30" t="n">
        <f aca="false">A12+('Unit Mix'!$D$21+'Capex Budget'!$B$14)*(1+Assumptions!$B$42)+A12*Assumptions!$B$9+C12*Assumptions!$B$74+Assumptions!$B$75-C12</f>
        <v>5652996.88</v>
      </c>
      <c r="E12" s="30" t="n">
        <f aca="false">-D12</f>
        <v>-5652996.88</v>
      </c>
      <c r="F12" s="30" t="n">
        <f aca="false">'Annual Model'!C59-C12*Assumptions!$B$73</f>
        <v>267933.116740342</v>
      </c>
      <c r="G12" s="30" t="n">
        <f aca="false">'Annual Model'!D59-C12*Assumptions!$B$73</f>
        <v>392819.109862741</v>
      </c>
      <c r="H12" s="30" t="n">
        <f aca="false">'Annual Model'!E59-C12*Assumptions!$B$73</f>
        <v>525395.059637179</v>
      </c>
      <c r="I12" s="30" t="n">
        <f aca="false">'Annual Model'!F59-C12*Assumptions!$B$73</f>
        <v>569178.222869264</v>
      </c>
      <c r="J12" s="30" t="n">
        <f aca="false">'Annual Model'!G59-C12*Assumptions!$B$73+('Annual Model'!H50/B12)*(1-Assumptions!$B$13)-C12</f>
        <v>11091019.2691746</v>
      </c>
      <c r="K12" s="91" t="n">
        <f aca="false">IRR(E12:J12)</f>
        <v>0.194279135988394</v>
      </c>
      <c r="L12" s="80" t="n">
        <f aca="false">SUM(F12:J12)/-E12</f>
        <v>2.2724839675277</v>
      </c>
    </row>
    <row r="13" customFormat="false" ht="15" hidden="false" customHeight="false" outlineLevel="0" collapsed="false">
      <c r="A13" s="42" t="n">
        <v>12000000</v>
      </c>
      <c r="B13" s="90" t="n">
        <v>0.065</v>
      </c>
      <c r="C13" s="30" t="n">
        <f aca="false">MIN((A13+('Unit Mix'!$D$21+'Capex Budget'!$B$14)*(1+Assumptions!$B$42))*Assumptions!$B$70,'Annual Model'!C50/Assumptions!$B$71,'Annual Model'!C50/(Assumptions!$B$72*Assumptions!$B$73))</f>
        <v>9796488</v>
      </c>
      <c r="D13" s="30" t="n">
        <f aca="false">A13+('Unit Mix'!$D$21+'Capex Budget'!$B$14)*(1+Assumptions!$B$42)+A13*Assumptions!$B$9+C13*Assumptions!$B$74+Assumptions!$B$75-C13</f>
        <v>5652996.88</v>
      </c>
      <c r="E13" s="30" t="n">
        <f aca="false">-D13</f>
        <v>-5652996.88</v>
      </c>
      <c r="F13" s="30" t="n">
        <f aca="false">'Annual Model'!C59-C13*Assumptions!$B$73</f>
        <v>267933.116740342</v>
      </c>
      <c r="G13" s="30" t="n">
        <f aca="false">'Annual Model'!D59-C13*Assumptions!$B$73</f>
        <v>392819.109862741</v>
      </c>
      <c r="H13" s="30" t="n">
        <f aca="false">'Annual Model'!E59-C13*Assumptions!$B$73</f>
        <v>525395.059637179</v>
      </c>
      <c r="I13" s="30" t="n">
        <f aca="false">'Annual Model'!F59-C13*Assumptions!$B$73</f>
        <v>569178.222869264</v>
      </c>
      <c r="J13" s="30" t="n">
        <f aca="false">'Annual Model'!G59-C13*Assumptions!$B$73+('Annual Model'!H50/B13)*(1-Assumptions!$B$13)-C13</f>
        <v>9530115.47135455</v>
      </c>
      <c r="K13" s="91" t="n">
        <f aca="false">IRR(E13:J13)</f>
        <v>0.162640323238298</v>
      </c>
      <c r="L13" s="80" t="n">
        <f aca="false">SUM(F13:J13)/-E13</f>
        <v>1.99636426837442</v>
      </c>
    </row>
    <row r="14" customFormat="false" ht="15" hidden="false" customHeight="false" outlineLevel="0" collapsed="false">
      <c r="A14" s="42" t="n">
        <v>12000000</v>
      </c>
      <c r="B14" s="90" t="n">
        <v>0.0675</v>
      </c>
      <c r="C14" s="30" t="n">
        <f aca="false">MIN((A14+('Unit Mix'!$D$21+'Capex Budget'!$B$14)*(1+Assumptions!$B$42))*Assumptions!$B$70,'Annual Model'!C50/Assumptions!$B$71,'Annual Model'!C50/(Assumptions!$B$72*Assumptions!$B$73))</f>
        <v>9796488</v>
      </c>
      <c r="D14" s="30" t="n">
        <f aca="false">A14+('Unit Mix'!$D$21+'Capex Budget'!$B$14)*(1+Assumptions!$B$42)+A14*Assumptions!$B$9+C14*Assumptions!$B$74+Assumptions!$B$75-C14</f>
        <v>5652996.88</v>
      </c>
      <c r="E14" s="30" t="n">
        <f aca="false">-D14</f>
        <v>-5652996.88</v>
      </c>
      <c r="F14" s="30" t="n">
        <f aca="false">'Annual Model'!C59-C14*Assumptions!$B$73</f>
        <v>267933.116740342</v>
      </c>
      <c r="G14" s="30" t="n">
        <f aca="false">'Annual Model'!D59-C14*Assumptions!$B$73</f>
        <v>392819.109862741</v>
      </c>
      <c r="H14" s="30" t="n">
        <f aca="false">'Annual Model'!E59-C14*Assumptions!$B$73</f>
        <v>525395.059637179</v>
      </c>
      <c r="I14" s="30" t="n">
        <f aca="false">'Annual Model'!F59-C14*Assumptions!$B$73</f>
        <v>569178.222869264</v>
      </c>
      <c r="J14" s="30" t="n">
        <f aca="false">'Annual Model'!G59-C14*Assumptions!$B$73+('Annual Model'!H50/B14)*(1-Assumptions!$B$13)-C14</f>
        <v>8836380.45010119</v>
      </c>
      <c r="K14" s="91" t="n">
        <f aca="false">IRR(E14:J14)</f>
        <v>0.147324792899976</v>
      </c>
      <c r="L14" s="80" t="n">
        <f aca="false">SUM(F14:J14)/-E14</f>
        <v>1.87364440208407</v>
      </c>
    </row>
    <row r="15" customFormat="false" ht="15" hidden="false" customHeight="false" outlineLevel="0" collapsed="false">
      <c r="A15" s="42" t="n">
        <v>12000000</v>
      </c>
      <c r="B15" s="90" t="n">
        <v>0.07</v>
      </c>
      <c r="C15" s="30" t="n">
        <f aca="false">MIN((A15+('Unit Mix'!$D$21+'Capex Budget'!$B$14)*(1+Assumptions!$B$42))*Assumptions!$B$70,'Annual Model'!C50/Assumptions!$B$71,'Annual Model'!C50/(Assumptions!$B$72*Assumptions!$B$73))</f>
        <v>9796488</v>
      </c>
      <c r="D15" s="30" t="n">
        <f aca="false">A15+('Unit Mix'!$D$21+'Capex Budget'!$B$14)*(1+Assumptions!$B$42)+A15*Assumptions!$B$9+C15*Assumptions!$B$74+Assumptions!$B$75-C15</f>
        <v>5652996.88</v>
      </c>
      <c r="E15" s="30" t="n">
        <f aca="false">-D15</f>
        <v>-5652996.88</v>
      </c>
      <c r="F15" s="30" t="n">
        <f aca="false">'Annual Model'!C59-C15*Assumptions!$B$73</f>
        <v>267933.116740342</v>
      </c>
      <c r="G15" s="30" t="n">
        <f aca="false">'Annual Model'!D59-C15*Assumptions!$B$73</f>
        <v>392819.109862741</v>
      </c>
      <c r="H15" s="30" t="n">
        <f aca="false">'Annual Model'!E59-C15*Assumptions!$B$73</f>
        <v>525395.059637179</v>
      </c>
      <c r="I15" s="30" t="n">
        <f aca="false">'Annual Model'!F59-C15*Assumptions!$B$73</f>
        <v>569178.222869264</v>
      </c>
      <c r="J15" s="30" t="n">
        <f aca="false">'Annual Model'!G59-C15*Assumptions!$B$73+('Annual Model'!H50/B15)*(1-Assumptions!$B$13)-C15</f>
        <v>8192197.93036592</v>
      </c>
      <c r="K15" s="91" t="n">
        <f aca="false">IRR(E15:J15)</f>
        <v>0.132282497031047</v>
      </c>
      <c r="L15" s="80" t="n">
        <f aca="false">SUM(F15:J15)/-E15</f>
        <v>1.75969024052875</v>
      </c>
    </row>
    <row r="16" customFormat="false" ht="15" hidden="false" customHeight="false" outlineLevel="0" collapsed="false">
      <c r="A16" s="42" t="n">
        <v>12000000</v>
      </c>
      <c r="B16" s="90" t="n">
        <v>0.075</v>
      </c>
      <c r="C16" s="30" t="n">
        <f aca="false">MIN((A16+('Unit Mix'!$D$21+'Capex Budget'!$B$14)*(1+Assumptions!$B$42))*Assumptions!$B$70,'Annual Model'!C50/Assumptions!$B$71,'Annual Model'!C50/(Assumptions!$B$72*Assumptions!$B$73))</f>
        <v>9796488</v>
      </c>
      <c r="D16" s="30" t="n">
        <f aca="false">A16+('Unit Mix'!$D$21+'Capex Budget'!$B$14)*(1+Assumptions!$B$42)+A16*Assumptions!$B$9+C16*Assumptions!$B$74+Assumptions!$B$75-C16</f>
        <v>5652996.88</v>
      </c>
      <c r="E16" s="30" t="n">
        <f aca="false">-D16</f>
        <v>-5652996.88</v>
      </c>
      <c r="F16" s="30" t="n">
        <f aca="false">'Annual Model'!C59-C16*Assumptions!$B$73</f>
        <v>267933.116740342</v>
      </c>
      <c r="G16" s="30" t="n">
        <f aca="false">'Annual Model'!D59-C16*Assumptions!$B$73</f>
        <v>392819.109862741</v>
      </c>
      <c r="H16" s="30" t="n">
        <f aca="false">'Annual Model'!E59-C16*Assumptions!$B$73</f>
        <v>525395.059637179</v>
      </c>
      <c r="I16" s="30" t="n">
        <f aca="false">'Annual Model'!F59-C16*Assumptions!$B$73</f>
        <v>569178.222869264</v>
      </c>
      <c r="J16" s="30" t="n">
        <f aca="false">'Annual Model'!G59-C16*Assumptions!$B$73+('Annual Model'!H50/B16)*(1-Assumptions!$B$13)-C16</f>
        <v>7032669.39484245</v>
      </c>
      <c r="K16" s="91" t="n">
        <f aca="false">IRR(E16:J16)</f>
        <v>0.102848155078592</v>
      </c>
      <c r="L16" s="80" t="n">
        <f aca="false">SUM(F16:J16)/-E16</f>
        <v>1.55457274972916</v>
      </c>
    </row>
    <row r="17" customFormat="false" ht="15" hidden="false" customHeight="false" outlineLevel="0" collapsed="false">
      <c r="A17" s="42" t="n">
        <v>12250000</v>
      </c>
      <c r="B17" s="90" t="n">
        <v>0.06</v>
      </c>
      <c r="C17" s="30" t="n">
        <f aca="false">MIN((A17+('Unit Mix'!$D$21+'Capex Budget'!$B$14)*(1+Assumptions!$B$42))*Assumptions!$B$70,'Annual Model'!C50/Assumptions!$B$71,'Annual Model'!C50/(Assumptions!$B$72*Assumptions!$B$73))</f>
        <v>9958988</v>
      </c>
      <c r="D17" s="30" t="n">
        <f aca="false">A17+('Unit Mix'!$D$21+'Capex Budget'!$B$14)*(1+Assumptions!$B$42)+A17*Assumptions!$B$9+C17*Assumptions!$B$74+Assumptions!$B$75-C17</f>
        <v>5745871.88</v>
      </c>
      <c r="E17" s="30" t="n">
        <f aca="false">-D17</f>
        <v>-5745871.88</v>
      </c>
      <c r="F17" s="30" t="n">
        <f aca="false">'Annual Model'!C59-C17*Assumptions!$B$73</f>
        <v>258426.866740342</v>
      </c>
      <c r="G17" s="30" t="n">
        <f aca="false">'Annual Model'!D59-C17*Assumptions!$B$73</f>
        <v>383312.859862741</v>
      </c>
      <c r="H17" s="30" t="n">
        <f aca="false">'Annual Model'!E59-C17*Assumptions!$B$73</f>
        <v>515888.809637179</v>
      </c>
      <c r="I17" s="30" t="n">
        <f aca="false">'Annual Model'!F59-C17*Assumptions!$B$73</f>
        <v>559671.972869264</v>
      </c>
      <c r="J17" s="30" t="n">
        <f aca="false">'Annual Model'!G59-C17*Assumptions!$B$73+('Annual Model'!H50/B17)*(1-Assumptions!$B$13)-C17</f>
        <v>10919013.0191746</v>
      </c>
      <c r="K17" s="91" t="n">
        <f aca="false">IRR(E17:J17)</f>
        <v>0.185543391774724</v>
      </c>
      <c r="L17" s="80" t="n">
        <f aca="false">SUM(F17:J17)/-E17</f>
        <v>2.19919862332262</v>
      </c>
    </row>
    <row r="18" customFormat="false" ht="15" hidden="false" customHeight="false" outlineLevel="0" collapsed="false">
      <c r="A18" s="42" t="n">
        <v>12250000</v>
      </c>
      <c r="B18" s="90" t="n">
        <v>0.065</v>
      </c>
      <c r="C18" s="30" t="n">
        <f aca="false">MIN((A18+('Unit Mix'!$D$21+'Capex Budget'!$B$14)*(1+Assumptions!$B$42))*Assumptions!$B$70,'Annual Model'!C50/Assumptions!$B$71,'Annual Model'!C50/(Assumptions!$B$72*Assumptions!$B$73))</f>
        <v>9958988</v>
      </c>
      <c r="D18" s="30" t="n">
        <f aca="false">A18+('Unit Mix'!$D$21+'Capex Budget'!$B$14)*(1+Assumptions!$B$42)+A18*Assumptions!$B$9+C18*Assumptions!$B$74+Assumptions!$B$75-C18</f>
        <v>5745871.88</v>
      </c>
      <c r="E18" s="30" t="n">
        <f aca="false">-D18</f>
        <v>-5745871.88</v>
      </c>
      <c r="F18" s="30" t="n">
        <f aca="false">'Annual Model'!C59-C18*Assumptions!$B$73</f>
        <v>258426.866740342</v>
      </c>
      <c r="G18" s="30" t="n">
        <f aca="false">'Annual Model'!D59-C18*Assumptions!$B$73</f>
        <v>383312.859862741</v>
      </c>
      <c r="H18" s="30" t="n">
        <f aca="false">'Annual Model'!E59-C18*Assumptions!$B$73</f>
        <v>515888.809637179</v>
      </c>
      <c r="I18" s="30" t="n">
        <f aca="false">'Annual Model'!F59-C18*Assumptions!$B$73</f>
        <v>559671.972869264</v>
      </c>
      <c r="J18" s="30" t="n">
        <f aca="false">'Annual Model'!G59-C18*Assumptions!$B$73+('Annual Model'!H50/B18)*(1-Assumptions!$B$13)-C18</f>
        <v>9358109.22135455</v>
      </c>
      <c r="K18" s="91" t="n">
        <f aca="false">IRR(E18:J18)</f>
        <v>0.153543455981484</v>
      </c>
      <c r="L18" s="80" t="n">
        <f aca="false">SUM(F18:J18)/-E18</f>
        <v>1.92754206180874</v>
      </c>
    </row>
    <row r="19" customFormat="false" ht="15" hidden="false" customHeight="false" outlineLevel="0" collapsed="false">
      <c r="A19" s="42" t="n">
        <v>12250000</v>
      </c>
      <c r="B19" s="90" t="n">
        <v>0.0675</v>
      </c>
      <c r="C19" s="30" t="n">
        <f aca="false">MIN((A19+('Unit Mix'!$D$21+'Capex Budget'!$B$14)*(1+Assumptions!$B$42))*Assumptions!$B$70,'Annual Model'!C50/Assumptions!$B$71,'Annual Model'!C50/(Assumptions!$B$72*Assumptions!$B$73))</f>
        <v>9958988</v>
      </c>
      <c r="D19" s="30" t="n">
        <f aca="false">A19+('Unit Mix'!$D$21+'Capex Budget'!$B$14)*(1+Assumptions!$B$42)+A19*Assumptions!$B$9+C19*Assumptions!$B$74+Assumptions!$B$75-C19</f>
        <v>5745871.88</v>
      </c>
      <c r="E19" s="30" t="n">
        <f aca="false">-D19</f>
        <v>-5745871.88</v>
      </c>
      <c r="F19" s="30" t="n">
        <f aca="false">'Annual Model'!C59-C19*Assumptions!$B$73</f>
        <v>258426.866740342</v>
      </c>
      <c r="G19" s="30" t="n">
        <f aca="false">'Annual Model'!D59-C19*Assumptions!$B$73</f>
        <v>383312.859862741</v>
      </c>
      <c r="H19" s="30" t="n">
        <f aca="false">'Annual Model'!E59-C19*Assumptions!$B$73</f>
        <v>515888.809637179</v>
      </c>
      <c r="I19" s="30" t="n">
        <f aca="false">'Annual Model'!F59-C19*Assumptions!$B$73</f>
        <v>559671.972869264</v>
      </c>
      <c r="J19" s="30" t="n">
        <f aca="false">'Annual Model'!G59-C19*Assumptions!$B$73+('Annual Model'!H50/B19)*(1-Assumptions!$B$13)-C19</f>
        <v>8664374.20010119</v>
      </c>
      <c r="K19" s="91" t="n">
        <f aca="false">IRR(E19:J19)</f>
        <v>0.138028284189719</v>
      </c>
      <c r="L19" s="80" t="n">
        <f aca="false">SUM(F19:J19)/-E19</f>
        <v>1.80680581224702</v>
      </c>
    </row>
    <row r="20" customFormat="false" ht="15" hidden="false" customHeight="false" outlineLevel="0" collapsed="false">
      <c r="A20" s="42" t="n">
        <v>12250000</v>
      </c>
      <c r="B20" s="90" t="n">
        <v>0.07</v>
      </c>
      <c r="C20" s="30" t="n">
        <f aca="false">MIN((A20+('Unit Mix'!$D$21+'Capex Budget'!$B$14)*(1+Assumptions!$B$42))*Assumptions!$B$70,'Annual Model'!C50/Assumptions!$B$71,'Annual Model'!C50/(Assumptions!$B$72*Assumptions!$B$73))</f>
        <v>9958988</v>
      </c>
      <c r="D20" s="30" t="n">
        <f aca="false">A20+('Unit Mix'!$D$21+'Capex Budget'!$B$14)*(1+Assumptions!$B$42)+A20*Assumptions!$B$9+C20*Assumptions!$B$74+Assumptions!$B$75-C20</f>
        <v>5745871.88</v>
      </c>
      <c r="E20" s="30" t="n">
        <f aca="false">-D20</f>
        <v>-5745871.88</v>
      </c>
      <c r="F20" s="30" t="n">
        <f aca="false">'Annual Model'!C59-C20*Assumptions!$B$73</f>
        <v>258426.866740342</v>
      </c>
      <c r="G20" s="30" t="n">
        <f aca="false">'Annual Model'!D59-C20*Assumptions!$B$73</f>
        <v>383312.859862741</v>
      </c>
      <c r="H20" s="30" t="n">
        <f aca="false">'Annual Model'!E59-C20*Assumptions!$B$73</f>
        <v>515888.809637179</v>
      </c>
      <c r="I20" s="30" t="n">
        <f aca="false">'Annual Model'!F59-C20*Assumptions!$B$73</f>
        <v>559671.972869264</v>
      </c>
      <c r="J20" s="30" t="n">
        <f aca="false">'Annual Model'!G59-C20*Assumptions!$B$73+('Annual Model'!H50/B20)*(1-Assumptions!$B$13)-C20</f>
        <v>8020191.68036592</v>
      </c>
      <c r="K20" s="91" t="n">
        <f aca="false">IRR(E20:J20)</f>
        <v>0.122772164737292</v>
      </c>
      <c r="L20" s="80" t="n">
        <f aca="false">SUM(F20:J20)/-E20</f>
        <v>1.69469358051113</v>
      </c>
    </row>
    <row r="21" customFormat="false" ht="15" hidden="false" customHeight="false" outlineLevel="0" collapsed="false">
      <c r="A21" s="42" t="n">
        <v>12250000</v>
      </c>
      <c r="B21" s="90" t="n">
        <v>0.075</v>
      </c>
      <c r="C21" s="30" t="n">
        <f aca="false">MIN((A21+('Unit Mix'!$D$21+'Capex Budget'!$B$14)*(1+Assumptions!$B$42))*Assumptions!$B$70,'Annual Model'!C50/Assumptions!$B$71,'Annual Model'!C50/(Assumptions!$B$72*Assumptions!$B$73))</f>
        <v>9958988</v>
      </c>
      <c r="D21" s="30" t="n">
        <f aca="false">A21+('Unit Mix'!$D$21+'Capex Budget'!$B$14)*(1+Assumptions!$B$42)+A21*Assumptions!$B$9+C21*Assumptions!$B$74+Assumptions!$B$75-C21</f>
        <v>5745871.88</v>
      </c>
      <c r="E21" s="30" t="n">
        <f aca="false">-D21</f>
        <v>-5745871.88</v>
      </c>
      <c r="F21" s="30" t="n">
        <f aca="false">'Annual Model'!C59-C21*Assumptions!$B$73</f>
        <v>258426.866740342</v>
      </c>
      <c r="G21" s="30" t="n">
        <f aca="false">'Annual Model'!D59-C21*Assumptions!$B$73</f>
        <v>383312.859862741</v>
      </c>
      <c r="H21" s="30" t="n">
        <f aca="false">'Annual Model'!E59-C21*Assumptions!$B$73</f>
        <v>515888.809637179</v>
      </c>
      <c r="I21" s="30" t="n">
        <f aca="false">'Annual Model'!F59-C21*Assumptions!$B$73</f>
        <v>559671.972869264</v>
      </c>
      <c r="J21" s="30" t="n">
        <f aca="false">'Annual Model'!G59-C21*Assumptions!$B$73+('Annual Model'!H50/B21)*(1-Assumptions!$B$13)-C21</f>
        <v>6860663.14484245</v>
      </c>
      <c r="K21" s="91" t="n">
        <f aca="false">IRR(E21:J21)</f>
        <v>0.0928621169485044</v>
      </c>
      <c r="L21" s="80" t="n">
        <f aca="false">SUM(F21:J21)/-E21</f>
        <v>1.49289156338654</v>
      </c>
    </row>
    <row r="22" customFormat="false" ht="15" hidden="false" customHeight="false" outlineLevel="0" collapsed="false">
      <c r="A22" s="42" t="n">
        <v>12750000</v>
      </c>
      <c r="B22" s="90" t="n">
        <v>0.06</v>
      </c>
      <c r="C22" s="30" t="n">
        <f aca="false">MIN((A22+('Unit Mix'!$D$21+'Capex Budget'!$B$14)*(1+Assumptions!$B$42))*Assumptions!$B$70,'Annual Model'!C50/Assumptions!$B$71,'Annual Model'!C50/(Assumptions!$B$72*Assumptions!$B$73))</f>
        <v>10283988</v>
      </c>
      <c r="D22" s="30" t="n">
        <f aca="false">A22+('Unit Mix'!$D$21+'Capex Budget'!$B$14)*(1+Assumptions!$B$42)+A22*Assumptions!$B$9+C22*Assumptions!$B$74+Assumptions!$B$75-C22</f>
        <v>5931621.88</v>
      </c>
      <c r="E22" s="30" t="n">
        <f aca="false">-D22</f>
        <v>-5931621.88</v>
      </c>
      <c r="F22" s="30" t="n">
        <f aca="false">'Annual Model'!C59-C22*Assumptions!$B$73</f>
        <v>239414.366740342</v>
      </c>
      <c r="G22" s="30" t="n">
        <f aca="false">'Annual Model'!D59-C22*Assumptions!$B$73</f>
        <v>364300.359862741</v>
      </c>
      <c r="H22" s="30" t="n">
        <f aca="false">'Annual Model'!E59-C22*Assumptions!$B$73</f>
        <v>496876.309637179</v>
      </c>
      <c r="I22" s="30" t="n">
        <f aca="false">'Annual Model'!F59-C22*Assumptions!$B$73</f>
        <v>540659.472869264</v>
      </c>
      <c r="J22" s="30" t="n">
        <f aca="false">'Annual Model'!G59-C22*Assumptions!$B$73+('Annual Model'!H50/B22)*(1-Assumptions!$B$13)-C22</f>
        <v>10575000.5191746</v>
      </c>
      <c r="K22" s="91" t="n">
        <f aca="false">IRR(E22:J22)</f>
        <v>0.168324662963169</v>
      </c>
      <c r="L22" s="80" t="n">
        <f aca="false">SUM(F22:J22)/-E22</f>
        <v>2.05951277330647</v>
      </c>
    </row>
    <row r="23" customFormat="false" ht="15" hidden="false" customHeight="false" outlineLevel="0" collapsed="false">
      <c r="A23" s="42" t="n">
        <v>12750000</v>
      </c>
      <c r="B23" s="90" t="n">
        <v>0.065</v>
      </c>
      <c r="C23" s="30" t="n">
        <f aca="false">MIN((A23+('Unit Mix'!$D$21+'Capex Budget'!$B$14)*(1+Assumptions!$B$42))*Assumptions!$B$70,'Annual Model'!C50/Assumptions!$B$71,'Annual Model'!C50/(Assumptions!$B$72*Assumptions!$B$73))</f>
        <v>10283988</v>
      </c>
      <c r="D23" s="30" t="n">
        <f aca="false">A23+('Unit Mix'!$D$21+'Capex Budget'!$B$14)*(1+Assumptions!$B$42)+A23*Assumptions!$B$9+C23*Assumptions!$B$74+Assumptions!$B$75-C23</f>
        <v>5931621.88</v>
      </c>
      <c r="E23" s="30" t="n">
        <f aca="false">-D23</f>
        <v>-5931621.88</v>
      </c>
      <c r="F23" s="30" t="n">
        <f aca="false">'Annual Model'!C59-C23*Assumptions!$B$73</f>
        <v>239414.366740342</v>
      </c>
      <c r="G23" s="30" t="n">
        <f aca="false">'Annual Model'!D59-C23*Assumptions!$B$73</f>
        <v>364300.359862741</v>
      </c>
      <c r="H23" s="30" t="n">
        <f aca="false">'Annual Model'!E59-C23*Assumptions!$B$73</f>
        <v>496876.309637179</v>
      </c>
      <c r="I23" s="30" t="n">
        <f aca="false">'Annual Model'!F59-C23*Assumptions!$B$73</f>
        <v>540659.472869264</v>
      </c>
      <c r="J23" s="30" t="n">
        <f aca="false">'Annual Model'!G59-C23*Assumptions!$B$73+('Annual Model'!H50/B23)*(1-Assumptions!$B$13)-C23</f>
        <v>9014096.72135455</v>
      </c>
      <c r="K23" s="91" t="n">
        <f aca="false">IRR(E23:J23)</f>
        <v>0.13556358506899</v>
      </c>
      <c r="L23" s="80" t="n">
        <f aca="false">SUM(F23:J23)/-E23</f>
        <v>1.79636319475982</v>
      </c>
    </row>
    <row r="24" customFormat="false" ht="15" hidden="false" customHeight="false" outlineLevel="0" collapsed="false">
      <c r="A24" s="42" t="n">
        <v>12750000</v>
      </c>
      <c r="B24" s="90" t="n">
        <v>0.0675</v>
      </c>
      <c r="C24" s="30" t="n">
        <f aca="false">MIN((A24+('Unit Mix'!$D$21+'Capex Budget'!$B$14)*(1+Assumptions!$B$42))*Assumptions!$B$70,'Annual Model'!C50/Assumptions!$B$71,'Annual Model'!C50/(Assumptions!$B$72*Assumptions!$B$73))</f>
        <v>10283988</v>
      </c>
      <c r="D24" s="30" t="n">
        <f aca="false">A24+('Unit Mix'!$D$21+'Capex Budget'!$B$14)*(1+Assumptions!$B$42)+A24*Assumptions!$B$9+C24*Assumptions!$B$74+Assumptions!$B$75-C24</f>
        <v>5931621.88</v>
      </c>
      <c r="E24" s="30" t="n">
        <f aca="false">-D24</f>
        <v>-5931621.88</v>
      </c>
      <c r="F24" s="30" t="n">
        <f aca="false">'Annual Model'!C59-C24*Assumptions!$B$73</f>
        <v>239414.366740342</v>
      </c>
      <c r="G24" s="30" t="n">
        <f aca="false">'Annual Model'!D59-C24*Assumptions!$B$73</f>
        <v>364300.359862741</v>
      </c>
      <c r="H24" s="30" t="n">
        <f aca="false">'Annual Model'!E59-C24*Assumptions!$B$73</f>
        <v>496876.309637179</v>
      </c>
      <c r="I24" s="30" t="n">
        <f aca="false">'Annual Model'!F59-C24*Assumptions!$B$73</f>
        <v>540659.472869264</v>
      </c>
      <c r="J24" s="30" t="n">
        <f aca="false">'Annual Model'!G59-C24*Assumptions!$B$73+('Annual Model'!H50/B24)*(1-Assumptions!$B$13)-C24</f>
        <v>8320361.70010119</v>
      </c>
      <c r="K24" s="91" t="n">
        <f aca="false">IRR(E24:J24)</f>
        <v>0.119625633349695</v>
      </c>
      <c r="L24" s="80" t="n">
        <f aca="false">SUM(F24:J24)/-E24</f>
        <v>1.67940782651687</v>
      </c>
    </row>
    <row r="25" customFormat="false" ht="15" hidden="false" customHeight="false" outlineLevel="0" collapsed="false">
      <c r="A25" s="42" t="n">
        <v>12750000</v>
      </c>
      <c r="B25" s="90" t="n">
        <v>0.07</v>
      </c>
      <c r="C25" s="30" t="n">
        <f aca="false">MIN((A25+('Unit Mix'!$D$21+'Capex Budget'!$B$14)*(1+Assumptions!$B$42))*Assumptions!$B$70,'Annual Model'!C50/Assumptions!$B$71,'Annual Model'!C50/(Assumptions!$B$72*Assumptions!$B$73))</f>
        <v>10283988</v>
      </c>
      <c r="D25" s="30" t="n">
        <f aca="false">A25+('Unit Mix'!$D$21+'Capex Budget'!$B$14)*(1+Assumptions!$B$42)+A25*Assumptions!$B$9+C25*Assumptions!$B$74+Assumptions!$B$75-C25</f>
        <v>5931621.88</v>
      </c>
      <c r="E25" s="30" t="n">
        <f aca="false">-D25</f>
        <v>-5931621.88</v>
      </c>
      <c r="F25" s="30" t="n">
        <f aca="false">'Annual Model'!C59-C25*Assumptions!$B$73</f>
        <v>239414.366740342</v>
      </c>
      <c r="G25" s="30" t="n">
        <f aca="false">'Annual Model'!D59-C25*Assumptions!$B$73</f>
        <v>364300.359862741</v>
      </c>
      <c r="H25" s="30" t="n">
        <f aca="false">'Annual Model'!E59-C25*Assumptions!$B$73</f>
        <v>496876.309637179</v>
      </c>
      <c r="I25" s="30" t="n">
        <f aca="false">'Annual Model'!F59-C25*Assumptions!$B$73</f>
        <v>540659.472869264</v>
      </c>
      <c r="J25" s="30" t="n">
        <f aca="false">'Annual Model'!G59-C25*Assumptions!$B$73+('Annual Model'!H50/B25)*(1-Assumptions!$B$13)-C25</f>
        <v>7676179.18036592</v>
      </c>
      <c r="K25" s="91" t="n">
        <f aca="false">IRR(E25:J25)</f>
        <v>0.103915055256967</v>
      </c>
      <c r="L25" s="80" t="n">
        <f aca="false">SUM(F25:J25)/-E25</f>
        <v>1.57080641314841</v>
      </c>
    </row>
    <row r="26" customFormat="false" ht="15" hidden="false" customHeight="false" outlineLevel="0" collapsed="false">
      <c r="A26" s="42" t="n">
        <v>12750000</v>
      </c>
      <c r="B26" s="90" t="n">
        <v>0.075</v>
      </c>
      <c r="C26" s="30" t="n">
        <f aca="false">MIN((A26+('Unit Mix'!$D$21+'Capex Budget'!$B$14)*(1+Assumptions!$B$42))*Assumptions!$B$70,'Annual Model'!C50/Assumptions!$B$71,'Annual Model'!C50/(Assumptions!$B$72*Assumptions!$B$73))</f>
        <v>10283988</v>
      </c>
      <c r="D26" s="30" t="n">
        <f aca="false">A26+('Unit Mix'!$D$21+'Capex Budget'!$B$14)*(1+Assumptions!$B$42)+A26*Assumptions!$B$9+C26*Assumptions!$B$74+Assumptions!$B$75-C26</f>
        <v>5931621.88</v>
      </c>
      <c r="E26" s="30" t="n">
        <f aca="false">-D26</f>
        <v>-5931621.88</v>
      </c>
      <c r="F26" s="30" t="n">
        <f aca="false">'Annual Model'!C59-C26*Assumptions!$B$73</f>
        <v>239414.366740342</v>
      </c>
      <c r="G26" s="30" t="n">
        <f aca="false">'Annual Model'!D59-C26*Assumptions!$B$73</f>
        <v>364300.359862741</v>
      </c>
      <c r="H26" s="30" t="n">
        <f aca="false">'Annual Model'!E59-C26*Assumptions!$B$73</f>
        <v>496876.309637179</v>
      </c>
      <c r="I26" s="30" t="n">
        <f aca="false">'Annual Model'!F59-C26*Assumptions!$B$73</f>
        <v>540659.472869264</v>
      </c>
      <c r="J26" s="30" t="n">
        <f aca="false">'Annual Model'!G59-C26*Assumptions!$B$73+('Annual Model'!H50/B26)*(1-Assumptions!$B$13)-C26</f>
        <v>6516650.64484245</v>
      </c>
      <c r="K26" s="91" t="n">
        <f aca="false">IRR(E26:J26)</f>
        <v>0.0729875932527495</v>
      </c>
      <c r="L26" s="80" t="n">
        <f aca="false">SUM(F26:J26)/-E26</f>
        <v>1.37532386908519</v>
      </c>
    </row>
    <row r="27" customFormat="false" ht="15" hidden="false" customHeight="false" outlineLevel="0" collapsed="false">
      <c r="A27" s="42" t="n">
        <v>13250000</v>
      </c>
      <c r="B27" s="90" t="n">
        <v>0.06</v>
      </c>
      <c r="C27" s="30" t="n">
        <f aca="false">MIN((A27+('Unit Mix'!$D$21+'Capex Budget'!$B$14)*(1+Assumptions!$B$42))*Assumptions!$B$70,'Annual Model'!C50/Assumptions!$B$71,'Annual Model'!C50/(Assumptions!$B$72*Assumptions!$B$73))</f>
        <v>10608988</v>
      </c>
      <c r="D27" s="30" t="n">
        <f aca="false">A27+('Unit Mix'!$D$21+'Capex Budget'!$B$14)*(1+Assumptions!$B$42)+A27*Assumptions!$B$9+C27*Assumptions!$B$74+Assumptions!$B$75-C27</f>
        <v>6117371.88</v>
      </c>
      <c r="E27" s="30" t="n">
        <f aca="false">-D27</f>
        <v>-6117371.88</v>
      </c>
      <c r="F27" s="30" t="n">
        <f aca="false">'Annual Model'!C59-C27*Assumptions!$B$73</f>
        <v>220401.866740342</v>
      </c>
      <c r="G27" s="30" t="n">
        <f aca="false">'Annual Model'!D59-C27*Assumptions!$B$73</f>
        <v>345287.859862741</v>
      </c>
      <c r="H27" s="30" t="n">
        <f aca="false">'Annual Model'!E59-C27*Assumptions!$B$73</f>
        <v>477863.809637179</v>
      </c>
      <c r="I27" s="30" t="n">
        <f aca="false">'Annual Model'!F59-C27*Assumptions!$B$73</f>
        <v>521646.972869264</v>
      </c>
      <c r="J27" s="30" t="n">
        <f aca="false">'Annual Model'!G59-C27*Assumptions!$B$73+('Annual Model'!H50/B27)*(1-Assumptions!$B$13)-C27</f>
        <v>10230988.0191746</v>
      </c>
      <c r="K27" s="91" t="n">
        <f aca="false">IRR(E27:J27)</f>
        <v>0.151405137666456</v>
      </c>
      <c r="L27" s="80" t="n">
        <f aca="false">SUM(F27:J27)/-E27</f>
        <v>1.92830986241826</v>
      </c>
    </row>
    <row r="28" customFormat="false" ht="15" hidden="false" customHeight="false" outlineLevel="0" collapsed="false">
      <c r="A28" s="42" t="n">
        <v>13250000</v>
      </c>
      <c r="B28" s="90" t="n">
        <v>0.065</v>
      </c>
      <c r="C28" s="30" t="n">
        <f aca="false">MIN((A28+('Unit Mix'!$D$21+'Capex Budget'!$B$14)*(1+Assumptions!$B$42))*Assumptions!$B$70,'Annual Model'!C50/Assumptions!$B$71,'Annual Model'!C50/(Assumptions!$B$72*Assumptions!$B$73))</f>
        <v>10608988</v>
      </c>
      <c r="D28" s="30" t="n">
        <f aca="false">A28+('Unit Mix'!$D$21+'Capex Budget'!$B$14)*(1+Assumptions!$B$42)+A28*Assumptions!$B$9+C28*Assumptions!$B$74+Assumptions!$B$75-C28</f>
        <v>6117371.88</v>
      </c>
      <c r="E28" s="30" t="n">
        <f aca="false">-D28</f>
        <v>-6117371.88</v>
      </c>
      <c r="F28" s="30" t="n">
        <f aca="false">'Annual Model'!C59-C28*Assumptions!$B$73</f>
        <v>220401.866740342</v>
      </c>
      <c r="G28" s="30" t="n">
        <f aca="false">'Annual Model'!D59-C28*Assumptions!$B$73</f>
        <v>345287.859862741</v>
      </c>
      <c r="H28" s="30" t="n">
        <f aca="false">'Annual Model'!E59-C28*Assumptions!$B$73</f>
        <v>477863.809637179</v>
      </c>
      <c r="I28" s="30" t="n">
        <f aca="false">'Annual Model'!F59-C28*Assumptions!$B$73</f>
        <v>521646.972869264</v>
      </c>
      <c r="J28" s="30" t="n">
        <f aca="false">'Annual Model'!G59-C28*Assumptions!$B$73+('Annual Model'!H50/B28)*(1-Assumptions!$B$13)-C28</f>
        <v>8670084.22135455</v>
      </c>
      <c r="K28" s="91" t="n">
        <f aca="false">IRR(E28:J28)</f>
        <v>0.117826844298232</v>
      </c>
      <c r="L28" s="80" t="n">
        <f aca="false">SUM(F28:J28)/-E28</f>
        <v>1.6731506488803</v>
      </c>
    </row>
    <row r="29" customFormat="false" ht="15" hidden="false" customHeight="false" outlineLevel="0" collapsed="false">
      <c r="A29" s="42" t="n">
        <v>13250000</v>
      </c>
      <c r="B29" s="90" t="n">
        <v>0.0675</v>
      </c>
      <c r="C29" s="30" t="n">
        <f aca="false">MIN((A29+('Unit Mix'!$D$21+'Capex Budget'!$B$14)*(1+Assumptions!$B$42))*Assumptions!$B$70,'Annual Model'!C50/Assumptions!$B$71,'Annual Model'!C50/(Assumptions!$B$72*Assumptions!$B$73))</f>
        <v>10608988</v>
      </c>
      <c r="D29" s="30" t="n">
        <f aca="false">A29+('Unit Mix'!$D$21+'Capex Budget'!$B$14)*(1+Assumptions!$B$42)+A29*Assumptions!$B$9+C29*Assumptions!$B$74+Assumptions!$B$75-C29</f>
        <v>6117371.88</v>
      </c>
      <c r="E29" s="30" t="n">
        <f aca="false">-D29</f>
        <v>-6117371.88</v>
      </c>
      <c r="F29" s="30" t="n">
        <f aca="false">'Annual Model'!C59-C29*Assumptions!$B$73</f>
        <v>220401.866740342</v>
      </c>
      <c r="G29" s="30" t="n">
        <f aca="false">'Annual Model'!D59-C29*Assumptions!$B$73</f>
        <v>345287.859862741</v>
      </c>
      <c r="H29" s="30" t="n">
        <f aca="false">'Annual Model'!E59-C29*Assumptions!$B$73</f>
        <v>477863.809637179</v>
      </c>
      <c r="I29" s="30" t="n">
        <f aca="false">'Annual Model'!F59-C29*Assumptions!$B$73</f>
        <v>521646.972869264</v>
      </c>
      <c r="J29" s="30" t="n">
        <f aca="false">'Annual Model'!G59-C29*Assumptions!$B$73+('Annual Model'!H50/B29)*(1-Assumptions!$B$13)-C29</f>
        <v>7976349.20010119</v>
      </c>
      <c r="K29" s="91" t="n">
        <f aca="false">IRR(E29:J29)</f>
        <v>0.101431876714692</v>
      </c>
      <c r="L29" s="80" t="n">
        <f aca="false">SUM(F29:J29)/-E29</f>
        <v>1.55974655397453</v>
      </c>
    </row>
    <row r="30" customFormat="false" ht="15" hidden="false" customHeight="false" outlineLevel="0" collapsed="false">
      <c r="A30" s="42" t="n">
        <v>13250000</v>
      </c>
      <c r="B30" s="90" t="n">
        <v>0.07</v>
      </c>
      <c r="C30" s="30" t="n">
        <f aca="false">MIN((A30+('Unit Mix'!$D$21+'Capex Budget'!$B$14)*(1+Assumptions!$B$42))*Assumptions!$B$70,'Annual Model'!C50/Assumptions!$B$71,'Annual Model'!C50/(Assumptions!$B$72*Assumptions!$B$73))</f>
        <v>10608988</v>
      </c>
      <c r="D30" s="30" t="n">
        <f aca="false">A30+('Unit Mix'!$D$21+'Capex Budget'!$B$14)*(1+Assumptions!$B$42)+A30*Assumptions!$B$9+C30*Assumptions!$B$74+Assumptions!$B$75-C30</f>
        <v>6117371.88</v>
      </c>
      <c r="E30" s="30" t="n">
        <f aca="false">-D30</f>
        <v>-6117371.88</v>
      </c>
      <c r="F30" s="30" t="n">
        <f aca="false">'Annual Model'!C59-C30*Assumptions!$B$73</f>
        <v>220401.866740342</v>
      </c>
      <c r="G30" s="30" t="n">
        <f aca="false">'Annual Model'!D59-C30*Assumptions!$B$73</f>
        <v>345287.859862741</v>
      </c>
      <c r="H30" s="30" t="n">
        <f aca="false">'Annual Model'!E59-C30*Assumptions!$B$73</f>
        <v>477863.809637179</v>
      </c>
      <c r="I30" s="30" t="n">
        <f aca="false">'Annual Model'!F59-C30*Assumptions!$B$73</f>
        <v>521646.972869264</v>
      </c>
      <c r="J30" s="30" t="n">
        <f aca="false">'Annual Model'!G59-C30*Assumptions!$B$73+('Annual Model'!H50/B30)*(1-Assumptions!$B$13)-C30</f>
        <v>7332166.68036592</v>
      </c>
      <c r="K30" s="91" t="n">
        <f aca="false">IRR(E30:J30)</f>
        <v>0.0852274684046239</v>
      </c>
      <c r="L30" s="80" t="n">
        <f aca="false">SUM(F30:J30)/-E30</f>
        <v>1.45444275156204</v>
      </c>
    </row>
    <row r="31" customFormat="false" ht="15" hidden="false" customHeight="false" outlineLevel="0" collapsed="false">
      <c r="A31" s="42" t="n">
        <v>13250000</v>
      </c>
      <c r="B31" s="90" t="n">
        <v>0.075</v>
      </c>
      <c r="C31" s="30" t="n">
        <f aca="false">MIN((A31+('Unit Mix'!$D$21+'Capex Budget'!$B$14)*(1+Assumptions!$B$42))*Assumptions!$B$70,'Annual Model'!C50/Assumptions!$B$71,'Annual Model'!C50/(Assumptions!$B$72*Assumptions!$B$73))</f>
        <v>10608988</v>
      </c>
      <c r="D31" s="30" t="n">
        <f aca="false">A31+('Unit Mix'!$D$21+'Capex Budget'!$B$14)*(1+Assumptions!$B$42)+A31*Assumptions!$B$9+C31*Assumptions!$B$74+Assumptions!$B$75-C31</f>
        <v>6117371.88</v>
      </c>
      <c r="E31" s="30" t="n">
        <f aca="false">-D31</f>
        <v>-6117371.88</v>
      </c>
      <c r="F31" s="30" t="n">
        <f aca="false">'Annual Model'!C59-C31*Assumptions!$B$73</f>
        <v>220401.866740342</v>
      </c>
      <c r="G31" s="30" t="n">
        <f aca="false">'Annual Model'!D59-C31*Assumptions!$B$73</f>
        <v>345287.859862741</v>
      </c>
      <c r="H31" s="30" t="n">
        <f aca="false">'Annual Model'!E59-C31*Assumptions!$B$73</f>
        <v>477863.809637179</v>
      </c>
      <c r="I31" s="30" t="n">
        <f aca="false">'Annual Model'!F59-C31*Assumptions!$B$73</f>
        <v>521646.972869264</v>
      </c>
      <c r="J31" s="30" t="n">
        <f aca="false">'Annual Model'!G59-C31*Assumptions!$B$73+('Annual Model'!H50/B31)*(1-Assumptions!$B$13)-C31</f>
        <v>6172638.14484245</v>
      </c>
      <c r="K31" s="91" t="n">
        <f aca="false">IRR(E31:J31)</f>
        <v>0.0531843869895282</v>
      </c>
      <c r="L31" s="80" t="n">
        <f aca="false">SUM(F31:J31)/-E31</f>
        <v>1.26489590721955</v>
      </c>
    </row>
    <row r="32" customFormat="false" ht="15" hidden="false" customHeight="false" outlineLevel="0" collapsed="false">
      <c r="A32" s="42" t="n">
        <v>14200000</v>
      </c>
      <c r="B32" s="90" t="n">
        <v>0.06</v>
      </c>
      <c r="C32" s="30" t="n">
        <f aca="false">MIN((A32+('Unit Mix'!$D$21+'Capex Budget'!$B$14)*(1+Assumptions!$B$42))*Assumptions!$B$70,'Annual Model'!C50/Assumptions!$B$71,'Annual Model'!C50/(Assumptions!$B$72*Assumptions!$B$73))</f>
        <v>10955345.8092543</v>
      </c>
      <c r="D32" s="30" t="n">
        <f aca="false">A32+('Unit Mix'!$D$21+'Capex Budget'!$B$14)*(1+Assumptions!$B$42)+A32*Assumptions!$B$9+C32*Assumptions!$B$74+Assumptions!$B$75-C32</f>
        <v>6738727.64883827</v>
      </c>
      <c r="E32" s="30" t="n">
        <f aca="false">-D32</f>
        <v>-6738727.64883827</v>
      </c>
      <c r="F32" s="30" t="n">
        <f aca="false">'Annual Model'!C59-C32*Assumptions!$B$73</f>
        <v>200139.934898967</v>
      </c>
      <c r="G32" s="30" t="n">
        <f aca="false">'Annual Model'!D59-C32*Assumptions!$B$73</f>
        <v>325025.928021366</v>
      </c>
      <c r="H32" s="30" t="n">
        <f aca="false">'Annual Model'!E59-C32*Assumptions!$B$73</f>
        <v>457601.877795804</v>
      </c>
      <c r="I32" s="30" t="n">
        <f aca="false">'Annual Model'!F59-C32*Assumptions!$B$73</f>
        <v>501385.041027889</v>
      </c>
      <c r="J32" s="30" t="n">
        <f aca="false">'Annual Model'!G59-C32*Assumptions!$B$73+('Annual Model'!H50/B32)*(1-Assumptions!$B$13)-C32</f>
        <v>9864368.27807895</v>
      </c>
      <c r="K32" s="91" t="n">
        <f aca="false">IRR(E32:J32)</f>
        <v>0.11786625010957</v>
      </c>
      <c r="L32" s="80" t="n">
        <f aca="false">SUM(F32:J32)/-E32</f>
        <v>1.68407474692636</v>
      </c>
    </row>
    <row r="33" customFormat="false" ht="15" hidden="false" customHeight="false" outlineLevel="0" collapsed="false">
      <c r="A33" s="42" t="n">
        <v>14200000</v>
      </c>
      <c r="B33" s="90" t="n">
        <v>0.065</v>
      </c>
      <c r="C33" s="30" t="n">
        <f aca="false">MIN((A33+('Unit Mix'!$D$21+'Capex Budget'!$B$14)*(1+Assumptions!$B$42))*Assumptions!$B$70,'Annual Model'!C50/Assumptions!$B$71,'Annual Model'!C50/(Assumptions!$B$72*Assumptions!$B$73))</f>
        <v>10955345.8092543</v>
      </c>
      <c r="D33" s="30" t="n">
        <f aca="false">A33+('Unit Mix'!$D$21+'Capex Budget'!$B$14)*(1+Assumptions!$B$42)+A33*Assumptions!$B$9+C33*Assumptions!$B$74+Assumptions!$B$75-C33</f>
        <v>6738727.64883827</v>
      </c>
      <c r="E33" s="30" t="n">
        <f aca="false">-D33</f>
        <v>-6738727.64883827</v>
      </c>
      <c r="F33" s="30" t="n">
        <f aca="false">'Annual Model'!C59-C33*Assumptions!$B$73</f>
        <v>200139.934898967</v>
      </c>
      <c r="G33" s="30" t="n">
        <f aca="false">'Annual Model'!D59-C33*Assumptions!$B$73</f>
        <v>325025.928021366</v>
      </c>
      <c r="H33" s="30" t="n">
        <f aca="false">'Annual Model'!E59-C33*Assumptions!$B$73</f>
        <v>457601.877795804</v>
      </c>
      <c r="I33" s="30" t="n">
        <f aca="false">'Annual Model'!F59-C33*Assumptions!$B$73</f>
        <v>501385.041027889</v>
      </c>
      <c r="J33" s="30" t="n">
        <f aca="false">'Annual Model'!G59-C33*Assumptions!$B$73+('Annual Model'!H50/B33)*(1-Assumptions!$B$13)-C33</f>
        <v>8303464.48025889</v>
      </c>
      <c r="K33" s="91" t="n">
        <f aca="false">IRR(E33:J33)</f>
        <v>0.0837408915519456</v>
      </c>
      <c r="L33" s="80" t="n">
        <f aca="false">SUM(F33:J33)/-E33</f>
        <v>1.45244291979811</v>
      </c>
    </row>
    <row r="34" customFormat="false" ht="15" hidden="false" customHeight="false" outlineLevel="0" collapsed="false">
      <c r="A34" s="42" t="n">
        <v>14200000</v>
      </c>
      <c r="B34" s="90" t="n">
        <v>0.0675</v>
      </c>
      <c r="C34" s="30" t="n">
        <f aca="false">MIN((A34+('Unit Mix'!$D$21+'Capex Budget'!$B$14)*(1+Assumptions!$B$42))*Assumptions!$B$70,'Annual Model'!C50/Assumptions!$B$71,'Annual Model'!C50/(Assumptions!$B$72*Assumptions!$B$73))</f>
        <v>10955345.8092543</v>
      </c>
      <c r="D34" s="30" t="n">
        <f aca="false">A34+('Unit Mix'!$D$21+'Capex Budget'!$B$14)*(1+Assumptions!$B$42)+A34*Assumptions!$B$9+C34*Assumptions!$B$74+Assumptions!$B$75-C34</f>
        <v>6738727.64883827</v>
      </c>
      <c r="E34" s="30" t="n">
        <f aca="false">-D34</f>
        <v>-6738727.64883827</v>
      </c>
      <c r="F34" s="30" t="n">
        <f aca="false">'Annual Model'!C59-C34*Assumptions!$B$73</f>
        <v>200139.934898967</v>
      </c>
      <c r="G34" s="30" t="n">
        <f aca="false">'Annual Model'!D59-C34*Assumptions!$B$73</f>
        <v>325025.928021366</v>
      </c>
      <c r="H34" s="30" t="n">
        <f aca="false">'Annual Model'!E59-C34*Assumptions!$B$73</f>
        <v>457601.877795804</v>
      </c>
      <c r="I34" s="30" t="n">
        <f aca="false">'Annual Model'!F59-C34*Assumptions!$B$73</f>
        <v>501385.041027889</v>
      </c>
      <c r="J34" s="30" t="n">
        <f aca="false">'Annual Model'!G59-C34*Assumptions!$B$73+('Annual Model'!H50/B34)*(1-Assumptions!$B$13)-C34</f>
        <v>7609729.45900553</v>
      </c>
      <c r="K34" s="91" t="n">
        <f aca="false">IRR(E34:J34)</f>
        <v>0.067006663356134</v>
      </c>
      <c r="L34" s="80" t="n">
        <f aca="false">SUM(F34:J34)/-E34</f>
        <v>1.34949544107445</v>
      </c>
    </row>
    <row r="35" customFormat="false" ht="15" hidden="false" customHeight="false" outlineLevel="0" collapsed="false">
      <c r="A35" s="42" t="n">
        <v>14200000</v>
      </c>
      <c r="B35" s="90" t="n">
        <v>0.07</v>
      </c>
      <c r="C35" s="30" t="n">
        <f aca="false">MIN((A35+('Unit Mix'!$D$21+'Capex Budget'!$B$14)*(1+Assumptions!$B$42))*Assumptions!$B$70,'Annual Model'!C50/Assumptions!$B$71,'Annual Model'!C50/(Assumptions!$B$72*Assumptions!$B$73))</f>
        <v>10955345.8092543</v>
      </c>
      <c r="D35" s="30" t="n">
        <f aca="false">A35+('Unit Mix'!$D$21+'Capex Budget'!$B$14)*(1+Assumptions!$B$42)+A35*Assumptions!$B$9+C35*Assumptions!$B$74+Assumptions!$B$75-C35</f>
        <v>6738727.64883827</v>
      </c>
      <c r="E35" s="30" t="n">
        <f aca="false">-D35</f>
        <v>-6738727.64883827</v>
      </c>
      <c r="F35" s="30" t="n">
        <f aca="false">'Annual Model'!C59-C35*Assumptions!$B$73</f>
        <v>200139.934898967</v>
      </c>
      <c r="G35" s="30" t="n">
        <f aca="false">'Annual Model'!D59-C35*Assumptions!$B$73</f>
        <v>325025.928021366</v>
      </c>
      <c r="H35" s="30" t="n">
        <f aca="false">'Annual Model'!E59-C35*Assumptions!$B$73</f>
        <v>457601.877795804</v>
      </c>
      <c r="I35" s="30" t="n">
        <f aca="false">'Annual Model'!F59-C35*Assumptions!$B$73</f>
        <v>501385.041027889</v>
      </c>
      <c r="J35" s="30" t="n">
        <f aca="false">'Annual Model'!G59-C35*Assumptions!$B$73+('Annual Model'!H50/B35)*(1-Assumptions!$B$13)-C35</f>
        <v>6965546.93927026</v>
      </c>
      <c r="K35" s="91" t="n">
        <f aca="false">IRR(E35:J35)</f>
        <v>0.0504137039801564</v>
      </c>
      <c r="L35" s="80" t="n">
        <f aca="false">SUM(F35:J35)/-E35</f>
        <v>1.25390135368818</v>
      </c>
    </row>
    <row r="36" customFormat="false" ht="15" hidden="false" customHeight="false" outlineLevel="0" collapsed="false">
      <c r="A36" s="42" t="n">
        <v>14200000</v>
      </c>
      <c r="B36" s="90" t="n">
        <v>0.075</v>
      </c>
      <c r="C36" s="30" t="n">
        <f aca="false">MIN((A36+('Unit Mix'!$D$21+'Capex Budget'!$B$14)*(1+Assumptions!$B$42))*Assumptions!$B$70,'Annual Model'!C50/Assumptions!$B$71,'Annual Model'!C50/(Assumptions!$B$72*Assumptions!$B$73))</f>
        <v>10955345.8092543</v>
      </c>
      <c r="D36" s="30" t="n">
        <f aca="false">A36+('Unit Mix'!$D$21+'Capex Budget'!$B$14)*(1+Assumptions!$B$42)+A36*Assumptions!$B$9+C36*Assumptions!$B$74+Assumptions!$B$75-C36</f>
        <v>6738727.64883827</v>
      </c>
      <c r="E36" s="30" t="n">
        <f aca="false">-D36</f>
        <v>-6738727.64883827</v>
      </c>
      <c r="F36" s="30" t="n">
        <f aca="false">'Annual Model'!C59-C36*Assumptions!$B$73</f>
        <v>200139.934898967</v>
      </c>
      <c r="G36" s="30" t="n">
        <f aca="false">'Annual Model'!D59-C36*Assumptions!$B$73</f>
        <v>325025.928021366</v>
      </c>
      <c r="H36" s="30" t="n">
        <f aca="false">'Annual Model'!E59-C36*Assumptions!$B$73</f>
        <v>457601.877795804</v>
      </c>
      <c r="I36" s="30" t="n">
        <f aca="false">'Annual Model'!F59-C36*Assumptions!$B$73</f>
        <v>501385.041027889</v>
      </c>
      <c r="J36" s="30" t="n">
        <f aca="false">'Annual Model'!G59-C36*Assumptions!$B$73+('Annual Model'!H50/B36)*(1-Assumptions!$B$13)-C36</f>
        <v>5806018.4037468</v>
      </c>
      <c r="K36" s="91" t="n">
        <f aca="false">IRR(E36:J36)</f>
        <v>0.0174232186101193</v>
      </c>
      <c r="L36" s="80" t="n">
        <f aca="false">SUM(F36:J36)/-E36</f>
        <v>1.08183199639291</v>
      </c>
    </row>
    <row r="37" customFormat="false" ht="15" hidden="false" customHeight="false" outlineLevel="0" collapsed="false">
      <c r="A37" s="42" t="n">
        <v>14750000</v>
      </c>
      <c r="B37" s="90" t="n">
        <v>0.06</v>
      </c>
      <c r="C37" s="30" t="n">
        <f aca="false">MIN((A37+('Unit Mix'!$D$21+'Capex Budget'!$B$14)*(1+Assumptions!$B$42))*Assumptions!$B$70,'Annual Model'!C50/Assumptions!$B$71,'Annual Model'!C50/(Assumptions!$B$72*Assumptions!$B$73))</f>
        <v>10955345.8092543</v>
      </c>
      <c r="D37" s="30" t="n">
        <f aca="false">A37+('Unit Mix'!$D$21+'Capex Budget'!$B$14)*(1+Assumptions!$B$42)+A37*Assumptions!$B$9+C37*Assumptions!$B$74+Assumptions!$B$75-C37</f>
        <v>7296977.64883827</v>
      </c>
      <c r="E37" s="30" t="n">
        <f aca="false">-D37</f>
        <v>-7296977.64883827</v>
      </c>
      <c r="F37" s="30" t="n">
        <f aca="false">'Annual Model'!C59-C37*Assumptions!$B$73</f>
        <v>200139.934898967</v>
      </c>
      <c r="G37" s="30" t="n">
        <f aca="false">'Annual Model'!D59-C37*Assumptions!$B$73</f>
        <v>325025.928021366</v>
      </c>
      <c r="H37" s="30" t="n">
        <f aca="false">'Annual Model'!E59-C37*Assumptions!$B$73</f>
        <v>457601.877795804</v>
      </c>
      <c r="I37" s="30" t="n">
        <f aca="false">'Annual Model'!F59-C37*Assumptions!$B$73</f>
        <v>501385.041027889</v>
      </c>
      <c r="J37" s="30" t="n">
        <f aca="false">'Annual Model'!G59-C37*Assumptions!$B$73+('Annual Model'!H50/B37)*(1-Assumptions!$B$13)-C37</f>
        <v>9864368.27807895</v>
      </c>
      <c r="K37" s="91" t="n">
        <f aca="false">IRR(E37:J37)</f>
        <v>0.0988572453993751</v>
      </c>
      <c r="L37" s="80" t="n">
        <f aca="false">SUM(F37:J37)/-E37</f>
        <v>1.55523582583945</v>
      </c>
    </row>
    <row r="38" customFormat="false" ht="15" hidden="false" customHeight="false" outlineLevel="0" collapsed="false">
      <c r="A38" s="42" t="n">
        <v>14750000</v>
      </c>
      <c r="B38" s="90" t="n">
        <v>0.065</v>
      </c>
      <c r="C38" s="30" t="n">
        <f aca="false">MIN((A38+('Unit Mix'!$D$21+'Capex Budget'!$B$14)*(1+Assumptions!$B$42))*Assumptions!$B$70,'Annual Model'!C50/Assumptions!$B$71,'Annual Model'!C50/(Assumptions!$B$72*Assumptions!$B$73))</f>
        <v>10955345.8092543</v>
      </c>
      <c r="D38" s="30" t="n">
        <f aca="false">A38+('Unit Mix'!$D$21+'Capex Budget'!$B$14)*(1+Assumptions!$B$42)+A38*Assumptions!$B$9+C38*Assumptions!$B$74+Assumptions!$B$75-C38</f>
        <v>7296977.64883827</v>
      </c>
      <c r="E38" s="30" t="n">
        <f aca="false">-D38</f>
        <v>-7296977.64883827</v>
      </c>
      <c r="F38" s="30" t="n">
        <f aca="false">'Annual Model'!C59-C38*Assumptions!$B$73</f>
        <v>200139.934898967</v>
      </c>
      <c r="G38" s="30" t="n">
        <f aca="false">'Annual Model'!D59-C38*Assumptions!$B$73</f>
        <v>325025.928021366</v>
      </c>
      <c r="H38" s="30" t="n">
        <f aca="false">'Annual Model'!E59-C38*Assumptions!$B$73</f>
        <v>457601.877795804</v>
      </c>
      <c r="I38" s="30" t="n">
        <f aca="false">'Annual Model'!F59-C38*Assumptions!$B$73</f>
        <v>501385.041027889</v>
      </c>
      <c r="J38" s="30" t="n">
        <f aca="false">'Annual Model'!G59-C38*Assumptions!$B$73+('Annual Model'!H50/B38)*(1-Assumptions!$B$13)-C38</f>
        <v>8303464.48025889</v>
      </c>
      <c r="K38" s="91" t="n">
        <f aca="false">IRR(E38:J38)</f>
        <v>0.0652087191036567</v>
      </c>
      <c r="L38" s="80" t="n">
        <f aca="false">SUM(F38:J38)/-E38</f>
        <v>1.34132482419775</v>
      </c>
    </row>
    <row r="39" customFormat="false" ht="15" hidden="false" customHeight="false" outlineLevel="0" collapsed="false">
      <c r="A39" s="42" t="n">
        <v>14750000</v>
      </c>
      <c r="B39" s="90" t="n">
        <v>0.0675</v>
      </c>
      <c r="C39" s="30" t="n">
        <f aca="false">MIN((A39+('Unit Mix'!$D$21+'Capex Budget'!$B$14)*(1+Assumptions!$B$42))*Assumptions!$B$70,'Annual Model'!C50/Assumptions!$B$71,'Annual Model'!C50/(Assumptions!$B$72*Assumptions!$B$73))</f>
        <v>10955345.8092543</v>
      </c>
      <c r="D39" s="30" t="n">
        <f aca="false">A39+('Unit Mix'!$D$21+'Capex Budget'!$B$14)*(1+Assumptions!$B$42)+A39*Assumptions!$B$9+C39*Assumptions!$B$74+Assumptions!$B$75-C39</f>
        <v>7296977.64883827</v>
      </c>
      <c r="E39" s="30" t="n">
        <f aca="false">-D39</f>
        <v>-7296977.64883827</v>
      </c>
      <c r="F39" s="30" t="n">
        <f aca="false">'Annual Model'!C59-C39*Assumptions!$B$73</f>
        <v>200139.934898967</v>
      </c>
      <c r="G39" s="30" t="n">
        <f aca="false">'Annual Model'!D59-C39*Assumptions!$B$73</f>
        <v>325025.928021366</v>
      </c>
      <c r="H39" s="30" t="n">
        <f aca="false">'Annual Model'!E59-C39*Assumptions!$B$73</f>
        <v>457601.877795804</v>
      </c>
      <c r="I39" s="30" t="n">
        <f aca="false">'Annual Model'!F59-C39*Assumptions!$B$73</f>
        <v>501385.041027889</v>
      </c>
      <c r="J39" s="30" t="n">
        <f aca="false">'Annual Model'!G59-C39*Assumptions!$B$73+('Annual Model'!H50/B39)*(1-Assumptions!$B$13)-C39</f>
        <v>7609729.45900553</v>
      </c>
      <c r="K39" s="91" t="n">
        <f aca="false">IRR(E39:J39)</f>
        <v>0.0487057032626868</v>
      </c>
      <c r="L39" s="80" t="n">
        <f aca="false">SUM(F39:J39)/-E39</f>
        <v>1.24625326791255</v>
      </c>
    </row>
    <row r="40" customFormat="false" ht="15" hidden="false" customHeight="false" outlineLevel="0" collapsed="false">
      <c r="A40" s="42" t="n">
        <v>14750000</v>
      </c>
      <c r="B40" s="90" t="n">
        <v>0.07</v>
      </c>
      <c r="C40" s="30" t="n">
        <f aca="false">MIN((A40+('Unit Mix'!$D$21+'Capex Budget'!$B$14)*(1+Assumptions!$B$42))*Assumptions!$B$70,'Annual Model'!C50/Assumptions!$B$71,'Annual Model'!C50/(Assumptions!$B$72*Assumptions!$B$73))</f>
        <v>10955345.8092543</v>
      </c>
      <c r="D40" s="30" t="n">
        <f aca="false">A40+('Unit Mix'!$D$21+'Capex Budget'!$B$14)*(1+Assumptions!$B$42)+A40*Assumptions!$B$9+C40*Assumptions!$B$74+Assumptions!$B$75-C40</f>
        <v>7296977.64883827</v>
      </c>
      <c r="E40" s="30" t="n">
        <f aca="false">-D40</f>
        <v>-7296977.64883827</v>
      </c>
      <c r="F40" s="30" t="n">
        <f aca="false">'Annual Model'!C59-C40*Assumptions!$B$73</f>
        <v>200139.934898967</v>
      </c>
      <c r="G40" s="30" t="n">
        <f aca="false">'Annual Model'!D59-C40*Assumptions!$B$73</f>
        <v>325025.928021366</v>
      </c>
      <c r="H40" s="30" t="n">
        <f aca="false">'Annual Model'!E59-C40*Assumptions!$B$73</f>
        <v>457601.877795804</v>
      </c>
      <c r="I40" s="30" t="n">
        <f aca="false">'Annual Model'!F59-C40*Assumptions!$B$73</f>
        <v>501385.041027889</v>
      </c>
      <c r="J40" s="30" t="n">
        <f aca="false">'Annual Model'!G59-C40*Assumptions!$B$73+('Annual Model'!H50/B40)*(1-Assumptions!$B$13)-C40</f>
        <v>6965546.93927026</v>
      </c>
      <c r="K40" s="91" t="n">
        <f aca="false">IRR(E40:J40)</f>
        <v>0.0323401163976547</v>
      </c>
      <c r="L40" s="80" t="n">
        <f aca="false">SUM(F40:J40)/-E40</f>
        <v>1.1579725370763</v>
      </c>
    </row>
    <row r="41" customFormat="false" ht="15" hidden="false" customHeight="false" outlineLevel="0" collapsed="false">
      <c r="A41" s="42" t="n">
        <v>14750000</v>
      </c>
      <c r="B41" s="90" t="n">
        <v>0.075</v>
      </c>
      <c r="C41" s="30" t="n">
        <f aca="false">MIN((A41+('Unit Mix'!$D$21+'Capex Budget'!$B$14)*(1+Assumptions!$B$42))*Assumptions!$B$70,'Annual Model'!C50/Assumptions!$B$71,'Annual Model'!C50/(Assumptions!$B$72*Assumptions!$B$73))</f>
        <v>10955345.8092543</v>
      </c>
      <c r="D41" s="30" t="n">
        <f aca="false">A41+('Unit Mix'!$D$21+'Capex Budget'!$B$14)*(1+Assumptions!$B$42)+A41*Assumptions!$B$9+C41*Assumptions!$B$74+Assumptions!$B$75-C41</f>
        <v>7296977.64883827</v>
      </c>
      <c r="E41" s="30" t="n">
        <f aca="false">-D41</f>
        <v>-7296977.64883827</v>
      </c>
      <c r="F41" s="30" t="n">
        <f aca="false">'Annual Model'!C59-C41*Assumptions!$B$73</f>
        <v>200139.934898967</v>
      </c>
      <c r="G41" s="30" t="n">
        <f aca="false">'Annual Model'!D59-C41*Assumptions!$B$73</f>
        <v>325025.928021366</v>
      </c>
      <c r="H41" s="30" t="n">
        <f aca="false">'Annual Model'!E59-C41*Assumptions!$B$73</f>
        <v>457601.877795804</v>
      </c>
      <c r="I41" s="30" t="n">
        <f aca="false">'Annual Model'!F59-C41*Assumptions!$B$73</f>
        <v>501385.041027889</v>
      </c>
      <c r="J41" s="30" t="n">
        <f aca="false">'Annual Model'!G59-C41*Assumptions!$B$73+('Annual Model'!H50/B41)*(1-Assumptions!$B$13)-C41</f>
        <v>5806018.4037468</v>
      </c>
      <c r="K41" s="91" t="n">
        <f aca="false">IRR(E41:J41)</f>
        <v>-0.000204531711539042</v>
      </c>
      <c r="L41" s="80" t="n">
        <f aca="false">SUM(F41:J41)/-E41</f>
        <v>0.999067221571039</v>
      </c>
    </row>
    <row r="43" customFormat="false" ht="15" hidden="false" customHeight="false" outlineLevel="0" collapsed="false">
      <c r="A43" s="4" t="s">
        <v>728</v>
      </c>
      <c r="B43" s="4"/>
      <c r="C43" s="4"/>
      <c r="D43" s="4"/>
      <c r="E43" s="4"/>
      <c r="F43" s="4"/>
      <c r="G43" s="4"/>
    </row>
    <row r="44" customFormat="false" ht="15" hidden="false" customHeight="false" outlineLevel="0" collapsed="false">
      <c r="A44" s="64" t="s">
        <v>729</v>
      </c>
      <c r="B44" s="92" t="n">
        <v>0.06</v>
      </c>
      <c r="C44" s="92" t="n">
        <v>0.065</v>
      </c>
      <c r="D44" s="92" t="n">
        <v>0.0675</v>
      </c>
      <c r="E44" s="92" t="n">
        <v>0.07</v>
      </c>
      <c r="F44" s="92" t="n">
        <v>0.075</v>
      </c>
      <c r="G44" s="25" t="s">
        <v>730</v>
      </c>
    </row>
    <row r="45" customFormat="false" ht="15" hidden="false" customHeight="false" outlineLevel="0" collapsed="false">
      <c r="A45" s="30" t="n">
        <v>11500000</v>
      </c>
      <c r="B45" s="93" t="n">
        <f aca="false">K7</f>
        <v>0.212033598900436</v>
      </c>
      <c r="C45" s="93" t="n">
        <f aca="false">K8</f>
        <v>0.181080940870437</v>
      </c>
      <c r="D45" s="93" t="n">
        <f aca="false">K9</f>
        <v>0.166143108763203</v>
      </c>
      <c r="E45" s="93" t="n">
        <f aca="false">K10</f>
        <v>0.151504009805426</v>
      </c>
      <c r="F45" s="93" t="n">
        <f aca="false">K11</f>
        <v>0.122961615411579</v>
      </c>
      <c r="G45" s="71" t="n">
        <f aca="false">A45/Assumptions!$B$17</f>
        <v>97457.6271186441</v>
      </c>
    </row>
    <row r="46" customFormat="false" ht="15" hidden="false" customHeight="false" outlineLevel="0" collapsed="false">
      <c r="A46" s="30" t="n">
        <v>12000000</v>
      </c>
      <c r="B46" s="93" t="n">
        <f aca="false">K12</f>
        <v>0.194279135988394</v>
      </c>
      <c r="C46" s="93" t="n">
        <f aca="false">K13</f>
        <v>0.162640323238298</v>
      </c>
      <c r="D46" s="93" t="n">
        <f aca="false">K14</f>
        <v>0.147324792899976</v>
      </c>
      <c r="E46" s="93" t="n">
        <f aca="false">K15</f>
        <v>0.132282497031047</v>
      </c>
      <c r="F46" s="93" t="n">
        <f aca="false">K16</f>
        <v>0.102848155078592</v>
      </c>
      <c r="G46" s="71" t="n">
        <f aca="false">A46/Assumptions!$B$17</f>
        <v>101694.915254237</v>
      </c>
    </row>
    <row r="47" customFormat="false" ht="15" hidden="false" customHeight="false" outlineLevel="0" collapsed="false">
      <c r="A47" s="30" t="n">
        <v>12250000</v>
      </c>
      <c r="B47" s="94" t="n">
        <f aca="false">K17</f>
        <v>0.185543391774724</v>
      </c>
      <c r="C47" s="94" t="n">
        <f aca="false">K18</f>
        <v>0.153543455981484</v>
      </c>
      <c r="D47" s="95" t="n">
        <f aca="false">K19</f>
        <v>0.138028284189719</v>
      </c>
      <c r="E47" s="94" t="n">
        <f aca="false">K20</f>
        <v>0.122772164737292</v>
      </c>
      <c r="F47" s="94" t="n">
        <f aca="false">K21</f>
        <v>0.0928621169485044</v>
      </c>
      <c r="G47" s="71" t="n">
        <f aca="false">A47/Assumptions!$B$17</f>
        <v>103813.559322034</v>
      </c>
    </row>
    <row r="48" customFormat="false" ht="15" hidden="false" customHeight="false" outlineLevel="0" collapsed="false">
      <c r="A48" s="30" t="n">
        <v>12750000</v>
      </c>
      <c r="B48" s="93" t="n">
        <f aca="false">K22</f>
        <v>0.168324662963169</v>
      </c>
      <c r="C48" s="93" t="n">
        <f aca="false">K23</f>
        <v>0.13556358506899</v>
      </c>
      <c r="D48" s="93" t="n">
        <f aca="false">K24</f>
        <v>0.119625633349695</v>
      </c>
      <c r="E48" s="93" t="n">
        <f aca="false">K25</f>
        <v>0.103915055256967</v>
      </c>
      <c r="F48" s="93" t="n">
        <f aca="false">K26</f>
        <v>0.0729875932527495</v>
      </c>
      <c r="G48" s="71" t="n">
        <f aca="false">A48/Assumptions!$B$17</f>
        <v>108050.847457627</v>
      </c>
    </row>
    <row r="49" customFormat="false" ht="15" hidden="false" customHeight="false" outlineLevel="0" collapsed="false">
      <c r="A49" s="30" t="n">
        <v>13250000</v>
      </c>
      <c r="B49" s="93" t="n">
        <f aca="false">K27</f>
        <v>0.151405137666456</v>
      </c>
      <c r="C49" s="93" t="n">
        <f aca="false">K28</f>
        <v>0.117826844298232</v>
      </c>
      <c r="D49" s="93" t="n">
        <f aca="false">K29</f>
        <v>0.101431876714692</v>
      </c>
      <c r="E49" s="93" t="n">
        <f aca="false">K30</f>
        <v>0.0852274684046239</v>
      </c>
      <c r="F49" s="93" t="n">
        <f aca="false">K31</f>
        <v>0.0531843869895282</v>
      </c>
      <c r="G49" s="71" t="n">
        <f aca="false">A49/Assumptions!$B$17</f>
        <v>112288.13559322</v>
      </c>
    </row>
    <row r="50" customFormat="false" ht="15" hidden="false" customHeight="false" outlineLevel="0" collapsed="false">
      <c r="A50" s="30" t="n">
        <v>14200000</v>
      </c>
      <c r="B50" s="94" t="n">
        <f aca="false">K32</f>
        <v>0.11786625010957</v>
      </c>
      <c r="C50" s="94" t="n">
        <f aca="false">K33</f>
        <v>0.0837408915519456</v>
      </c>
      <c r="D50" s="95" t="n">
        <f aca="false">K34</f>
        <v>0.067006663356134</v>
      </c>
      <c r="E50" s="94" t="n">
        <f aca="false">K35</f>
        <v>0.0504137039801564</v>
      </c>
      <c r="F50" s="94" t="n">
        <f aca="false">K36</f>
        <v>0.0174232186101193</v>
      </c>
      <c r="G50" s="71" t="n">
        <f aca="false">A50/Assumptions!$B$17</f>
        <v>120338.983050847</v>
      </c>
    </row>
    <row r="51" customFormat="false" ht="15" hidden="false" customHeight="false" outlineLevel="0" collapsed="false">
      <c r="A51" s="30" t="n">
        <v>14750000</v>
      </c>
      <c r="B51" s="93" t="n">
        <f aca="false">K37</f>
        <v>0.0988572453993751</v>
      </c>
      <c r="C51" s="93" t="n">
        <f aca="false">K38</f>
        <v>0.0652087191036567</v>
      </c>
      <c r="D51" s="93" t="n">
        <f aca="false">K39</f>
        <v>0.0487057032626868</v>
      </c>
      <c r="E51" s="93" t="n">
        <f aca="false">K40</f>
        <v>0.0323401163976547</v>
      </c>
      <c r="F51" s="93" t="n">
        <f aca="false">K41</f>
        <v>-0.000204531711539042</v>
      </c>
      <c r="G51" s="71" t="n">
        <f aca="false">A51/Assumptions!$B$17</f>
        <v>125000</v>
      </c>
    </row>
    <row r="53" customFormat="false" ht="43.5" hidden="false" customHeight="true" outlineLevel="0" collapsed="false">
      <c r="A53" s="59" t="s">
        <v>731</v>
      </c>
      <c r="B53" s="59"/>
      <c r="C53" s="59"/>
      <c r="D53" s="59"/>
      <c r="E53" s="59"/>
      <c r="F53" s="59"/>
      <c r="G53" s="59"/>
      <c r="H53" s="59"/>
    </row>
    <row r="55" customFormat="false" ht="15" hidden="false" customHeight="false" outlineLevel="0" collapsed="false">
      <c r="A55" s="4" t="s">
        <v>732</v>
      </c>
      <c r="B55" s="4"/>
      <c r="C55" s="4"/>
      <c r="D55" s="4"/>
      <c r="E55" s="4"/>
      <c r="F55" s="4"/>
      <c r="G55" s="4"/>
    </row>
    <row r="56" customFormat="false" ht="15" hidden="false" customHeight="false" outlineLevel="0" collapsed="false">
      <c r="A56" s="64" t="s">
        <v>729</v>
      </c>
      <c r="B56" s="92" t="n">
        <v>0.06</v>
      </c>
      <c r="C56" s="92" t="n">
        <v>0.065</v>
      </c>
      <c r="D56" s="92" t="n">
        <v>0.0675</v>
      </c>
      <c r="E56" s="92" t="n">
        <v>0.07</v>
      </c>
      <c r="F56" s="92" t="n">
        <v>0.075</v>
      </c>
    </row>
    <row r="57" customFormat="false" ht="15" hidden="false" customHeight="false" outlineLevel="0" collapsed="false">
      <c r="A57" s="30" t="n">
        <v>11500000</v>
      </c>
      <c r="B57" s="96" t="n">
        <f aca="false">L7</f>
        <v>2.42652427619733</v>
      </c>
      <c r="C57" s="96" t="n">
        <f aca="false">L8</f>
        <v>2.14102339575784</v>
      </c>
      <c r="D57" s="96" t="n">
        <f aca="false">L9</f>
        <v>2.01413411556251</v>
      </c>
      <c r="E57" s="96" t="n">
        <f aca="false">L10</f>
        <v>1.89630835538114</v>
      </c>
      <c r="F57" s="96" t="n">
        <f aca="false">L11</f>
        <v>1.68422198705466</v>
      </c>
    </row>
    <row r="58" customFormat="false" ht="15" hidden="false" customHeight="false" outlineLevel="0" collapsed="false">
      <c r="A58" s="30" t="n">
        <v>12000000</v>
      </c>
      <c r="B58" s="96" t="n">
        <f aca="false">L12</f>
        <v>2.2724839675277</v>
      </c>
      <c r="C58" s="96" t="n">
        <f aca="false">L13</f>
        <v>1.99636426837442</v>
      </c>
      <c r="D58" s="96" t="n">
        <f aca="false">L14</f>
        <v>1.87364440208407</v>
      </c>
      <c r="E58" s="96" t="n">
        <f aca="false">L15</f>
        <v>1.75969024052875</v>
      </c>
      <c r="F58" s="96" t="n">
        <f aca="false">L16</f>
        <v>1.55457274972916</v>
      </c>
    </row>
    <row r="59" customFormat="false" ht="15" hidden="false" customHeight="false" outlineLevel="0" collapsed="false">
      <c r="A59" s="30" t="n">
        <v>12250000</v>
      </c>
      <c r="B59" s="96" t="n">
        <f aca="false">L17</f>
        <v>2.19919862332262</v>
      </c>
      <c r="C59" s="96" t="n">
        <f aca="false">L18</f>
        <v>1.92754206180874</v>
      </c>
      <c r="D59" s="96" t="n">
        <f aca="false">L19</f>
        <v>1.80680581224702</v>
      </c>
      <c r="E59" s="96" t="n">
        <f aca="false">L20</f>
        <v>1.69469358051113</v>
      </c>
      <c r="F59" s="96" t="n">
        <f aca="false">L21</f>
        <v>1.49289156338654</v>
      </c>
    </row>
    <row r="60" customFormat="false" ht="15" hidden="false" customHeight="false" outlineLevel="0" collapsed="false">
      <c r="A60" s="30" t="n">
        <v>12750000</v>
      </c>
      <c r="B60" s="96" t="n">
        <f aca="false">L22</f>
        <v>2.05951277330647</v>
      </c>
      <c r="C60" s="96" t="n">
        <f aca="false">L23</f>
        <v>1.79636319475982</v>
      </c>
      <c r="D60" s="96" t="n">
        <f aca="false">L24</f>
        <v>1.67940782651687</v>
      </c>
      <c r="E60" s="96" t="n">
        <f aca="false">L25</f>
        <v>1.57080641314841</v>
      </c>
      <c r="F60" s="96" t="n">
        <f aca="false">L26</f>
        <v>1.37532386908519</v>
      </c>
    </row>
    <row r="61" customFormat="false" ht="15" hidden="false" customHeight="false" outlineLevel="0" collapsed="false">
      <c r="A61" s="30" t="n">
        <v>13250000</v>
      </c>
      <c r="B61" s="96" t="n">
        <f aca="false">L27</f>
        <v>1.92830986241826</v>
      </c>
      <c r="C61" s="96" t="n">
        <f aca="false">L28</f>
        <v>1.6731506488803</v>
      </c>
      <c r="D61" s="96" t="n">
        <f aca="false">L29</f>
        <v>1.55974655397453</v>
      </c>
      <c r="E61" s="96" t="n">
        <f aca="false">L30</f>
        <v>1.45444275156204</v>
      </c>
      <c r="F61" s="96" t="n">
        <f aca="false">L31</f>
        <v>1.26489590721955</v>
      </c>
    </row>
    <row r="62" customFormat="false" ht="15" hidden="false" customHeight="false" outlineLevel="0" collapsed="false">
      <c r="A62" s="30" t="n">
        <v>14200000</v>
      </c>
      <c r="B62" s="96" t="n">
        <f aca="false">L32</f>
        <v>1.68407474692636</v>
      </c>
      <c r="C62" s="96" t="n">
        <f aca="false">L33</f>
        <v>1.45244291979811</v>
      </c>
      <c r="D62" s="96" t="n">
        <f aca="false">L34</f>
        <v>1.34949544107445</v>
      </c>
      <c r="E62" s="96" t="n">
        <f aca="false">L35</f>
        <v>1.25390135368818</v>
      </c>
      <c r="F62" s="96" t="n">
        <f aca="false">L36</f>
        <v>1.08183199639291</v>
      </c>
    </row>
    <row r="63" customFormat="false" ht="15" hidden="false" customHeight="false" outlineLevel="0" collapsed="false">
      <c r="A63" s="30" t="n">
        <v>14750000</v>
      </c>
      <c r="B63" s="96" t="n">
        <f aca="false">L37</f>
        <v>1.55523582583945</v>
      </c>
      <c r="C63" s="96" t="n">
        <f aca="false">L38</f>
        <v>1.34132482419775</v>
      </c>
      <c r="D63" s="96" t="n">
        <f aca="false">L39</f>
        <v>1.24625326791255</v>
      </c>
      <c r="E63" s="96" t="n">
        <f aca="false">L40</f>
        <v>1.1579725370763</v>
      </c>
      <c r="F63" s="96" t="n">
        <f aca="false">L41</f>
        <v>0.999067221571039</v>
      </c>
    </row>
    <row r="66" customFormat="false" ht="15" hidden="false" customHeight="false" outlineLevel="0" collapsed="false">
      <c r="A66" s="4" t="s">
        <v>733</v>
      </c>
      <c r="B66" s="4"/>
      <c r="C66" s="4"/>
      <c r="D66" s="4"/>
      <c r="E66" s="4"/>
      <c r="F66" s="4"/>
      <c r="G66" s="4"/>
      <c r="H66" s="4"/>
      <c r="I66" s="4"/>
      <c r="J66" s="4"/>
      <c r="K66" s="4"/>
      <c r="L66" s="4"/>
    </row>
    <row r="67" customFormat="false" ht="23.85" hidden="false" customHeight="false" outlineLevel="0" collapsed="false">
      <c r="A67" s="64" t="s">
        <v>734</v>
      </c>
      <c r="B67" s="25" t="s">
        <v>723</v>
      </c>
      <c r="C67" s="25" t="s">
        <v>735</v>
      </c>
      <c r="D67" s="25" t="s">
        <v>724</v>
      </c>
      <c r="E67" s="25" t="s">
        <v>726</v>
      </c>
      <c r="F67" s="25" t="s">
        <v>132</v>
      </c>
      <c r="G67" s="25" t="s">
        <v>133</v>
      </c>
      <c r="H67" s="25" t="s">
        <v>134</v>
      </c>
      <c r="I67" s="25" t="s">
        <v>135</v>
      </c>
      <c r="J67" s="25" t="s">
        <v>136</v>
      </c>
      <c r="K67" s="25" t="s">
        <v>679</v>
      </c>
      <c r="L67" s="25" t="s">
        <v>736</v>
      </c>
      <c r="M67" s="25" t="s">
        <v>737</v>
      </c>
    </row>
    <row r="68" customFormat="false" ht="15" hidden="false" customHeight="false" outlineLevel="0" collapsed="false">
      <c r="A68" s="42" t="n">
        <v>125</v>
      </c>
      <c r="B68" s="90" t="n">
        <v>0.06</v>
      </c>
      <c r="C68" s="30" t="n">
        <f aca="false">A68-Assumptions!$B$39</f>
        <v>-41.3135593220339</v>
      </c>
      <c r="D68" s="30" t="n">
        <f aca="false">MIN(Returns!$C$22*Assumptions!$B$70,M68/Assumptions!$B$71,M68/(Assumptions!$B$72*Assumptions!$B$73))</f>
        <v>10852836.4677105</v>
      </c>
      <c r="E68" s="30" t="n">
        <f aca="false">-((Returns!$C$13-Returns!$C$27*Assumptions!$B$74)+D68*Assumptions!$B$74-D68)</f>
        <v>-6840211.89696665</v>
      </c>
      <c r="F68" s="30" t="n">
        <f aca="false">'Annual Model'!C59+$C68*'Annual Model'!C14*12*'Annual Model'!C10*(1-Assumptions!C$47-Assumptions!C$48-Assumptions!C$49-Assumptions!C$50)*(1-Assumptions!$B$56)-$D68*Assumptions!$B$73</f>
        <v>197935.984055775</v>
      </c>
      <c r="G68" s="30" t="n">
        <f aca="false">'Annual Model'!D59+$C68*'Annual Model'!D14*12*'Annual Model'!D10*(1-Assumptions!D$47-Assumptions!D$48-Assumptions!D$49-Assumptions!D$50)*(1-Assumptions!$B$56)-$D68*Assumptions!$B$73</f>
        <v>295935.903304406</v>
      </c>
      <c r="H68" s="30" t="n">
        <f aca="false">'Annual Model'!E59+$C68*'Annual Model'!E14*12*'Annual Model'!E10*(1-Assumptions!E$47-Assumptions!E$48-Assumptions!E$49-Assumptions!E$50)*(1-Assumptions!$B$56)-$D68*Assumptions!$B$73</f>
        <v>408700.951996186</v>
      </c>
      <c r="I68" s="30" t="n">
        <f aca="false">'Annual Model'!F59+$C68*'Annual Model'!F14*12*'Annual Model'!F10*(1-Assumptions!F$47-Assumptions!F$48-Assumptions!F$49-Assumptions!F$50)*(1-Assumptions!$B$56)-$D68*Assumptions!$B$73</f>
        <v>450083.0789048</v>
      </c>
      <c r="J68" s="30" t="n">
        <f aca="false">'Annual Model'!G59+$C68*'Annual Model'!G14*12*'Annual Model'!G10*(1-Assumptions!G$47-Assumptions!G$48-Assumptions!G$49-Assumptions!G$50)*(1-Assumptions!$B$56)-$D68*Assumptions!$B$73+(L68/B68)*(1-Assumptions!$B$13)-$D68</f>
        <v>8915916.20795303</v>
      </c>
      <c r="K68" s="91" t="n">
        <f aca="false">IRR(E68:J68)</f>
        <v>0.0906728135523979</v>
      </c>
      <c r="L68" s="30" t="n">
        <f aca="false">'Annual Model'!H50+$C68*Assumptions!$B$17*12*'Annual Model'!H10*(1-Assumptions!G$47-Assumptions!G$48-Assumptions!G$49-Assumptions!G$50)*(1-Assumptions!$B$56)</f>
        <v>1175257.39400237</v>
      </c>
      <c r="M68" s="30" t="n">
        <f aca="false">'Annual Model'!C50+$C68*'Annual Model'!C14*12*'Annual Model'!C10*(1-Assumptions!C$47-Assumptions!C$48-Assumptions!C$49-Assumptions!C$50)*(1-Assumptions!$B$56)</f>
        <v>868226.917416836</v>
      </c>
    </row>
    <row r="69" customFormat="false" ht="15" hidden="false" customHeight="false" outlineLevel="0" collapsed="false">
      <c r="A69" s="42" t="n">
        <v>125</v>
      </c>
      <c r="B69" s="90" t="n">
        <v>0.065</v>
      </c>
      <c r="C69" s="30" t="n">
        <f aca="false">A69-Assumptions!$B$39</f>
        <v>-41.3135593220339</v>
      </c>
      <c r="D69" s="30" t="n">
        <f aca="false">MIN(Returns!$C$22*Assumptions!$B$70,M69/Assumptions!$B$71,M69/(Assumptions!$B$72*Assumptions!$B$73))</f>
        <v>10852836.4677105</v>
      </c>
      <c r="E69" s="30" t="n">
        <f aca="false">-((Returns!$C$13-Returns!$C$27*Assumptions!$B$74)+D69*Assumptions!$B$74-D69)</f>
        <v>-6840211.89696665</v>
      </c>
      <c r="F69" s="30" t="n">
        <f aca="false">'Annual Model'!C59+$C69*'Annual Model'!C14*12*'Annual Model'!C10*(1-Assumptions!C$47-Assumptions!C$48-Assumptions!C$49-Assumptions!C$50)*(1-Assumptions!$B$56)-$D69*Assumptions!$B$73</f>
        <v>197935.984055775</v>
      </c>
      <c r="G69" s="30" t="n">
        <f aca="false">'Annual Model'!D59+$C69*'Annual Model'!D14*12*'Annual Model'!D10*(1-Assumptions!D$47-Assumptions!D$48-Assumptions!D$49-Assumptions!D$50)*(1-Assumptions!$B$56)-$D69*Assumptions!$B$73</f>
        <v>295935.903304406</v>
      </c>
      <c r="H69" s="30" t="n">
        <f aca="false">'Annual Model'!E59+$C69*'Annual Model'!E14*12*'Annual Model'!E10*(1-Assumptions!E$47-Assumptions!E$48-Assumptions!E$49-Assumptions!E$50)*(1-Assumptions!$B$56)-$D69*Assumptions!$B$73</f>
        <v>408700.951996186</v>
      </c>
      <c r="I69" s="30" t="n">
        <f aca="false">'Annual Model'!F59+$C69*'Annual Model'!F14*12*'Annual Model'!F10*(1-Assumptions!F$47-Assumptions!F$48-Assumptions!F$49-Assumptions!F$50)*(1-Assumptions!$B$56)-$D69*Assumptions!$B$73</f>
        <v>450083.0789048</v>
      </c>
      <c r="J69" s="30" t="n">
        <f aca="false">'Annual Model'!G59+$C69*'Annual Model'!G14*12*'Annual Model'!G10*(1-Assumptions!G$47-Assumptions!G$48-Assumptions!G$49-Assumptions!G$50)*(1-Assumptions!$B$56)-$D69*Assumptions!$B$73+(L69/B69)*(1-Assumptions!$B$13)-$D69</f>
        <v>7431777.06296285</v>
      </c>
      <c r="K69" s="91" t="n">
        <f aca="false">IRR(E69:J69)</f>
        <v>0.0553659654792444</v>
      </c>
      <c r="L69" s="30" t="n">
        <f aca="false">'Annual Model'!H50+$C69*Assumptions!$B$17*12*'Annual Model'!H10*(1-Assumptions!G$47-Assumptions!G$48-Assumptions!G$49-Assumptions!G$50)*(1-Assumptions!$B$56)</f>
        <v>1175257.39400237</v>
      </c>
      <c r="M69" s="30" t="n">
        <f aca="false">'Annual Model'!C50+$C69*'Annual Model'!C14*12*'Annual Model'!C10*(1-Assumptions!C$47-Assumptions!C$48-Assumptions!C$49-Assumptions!C$50)*(1-Assumptions!$B$56)</f>
        <v>868226.917416836</v>
      </c>
    </row>
    <row r="70" customFormat="false" ht="15" hidden="false" customHeight="false" outlineLevel="0" collapsed="false">
      <c r="A70" s="42" t="n">
        <v>125</v>
      </c>
      <c r="B70" s="90" t="n">
        <v>0.0675</v>
      </c>
      <c r="C70" s="30" t="n">
        <f aca="false">A70-Assumptions!$B$39</f>
        <v>-41.3135593220339</v>
      </c>
      <c r="D70" s="30" t="n">
        <f aca="false">MIN(Returns!$C$22*Assumptions!$B$70,M70/Assumptions!$B$71,M70/(Assumptions!$B$72*Assumptions!$B$73))</f>
        <v>10852836.4677105</v>
      </c>
      <c r="E70" s="30" t="n">
        <f aca="false">-((Returns!$C$13-Returns!$C$27*Assumptions!$B$74)+D70*Assumptions!$B$74-D70)</f>
        <v>-6840211.89696665</v>
      </c>
      <c r="F70" s="30" t="n">
        <f aca="false">'Annual Model'!C59+$C70*'Annual Model'!C14*12*'Annual Model'!C10*(1-Assumptions!C$47-Assumptions!C$48-Assumptions!C$49-Assumptions!C$50)*(1-Assumptions!$B$56)-$D70*Assumptions!$B$73</f>
        <v>197935.984055775</v>
      </c>
      <c r="G70" s="30" t="n">
        <f aca="false">'Annual Model'!D59+$C70*'Annual Model'!D14*12*'Annual Model'!D10*(1-Assumptions!D$47-Assumptions!D$48-Assumptions!D$49-Assumptions!D$50)*(1-Assumptions!$B$56)-$D70*Assumptions!$B$73</f>
        <v>295935.903304406</v>
      </c>
      <c r="H70" s="30" t="n">
        <f aca="false">'Annual Model'!E59+$C70*'Annual Model'!E14*12*'Annual Model'!E10*(1-Assumptions!E$47-Assumptions!E$48-Assumptions!E$49-Assumptions!E$50)*(1-Assumptions!$B$56)-$D70*Assumptions!$B$73</f>
        <v>408700.951996186</v>
      </c>
      <c r="I70" s="30" t="n">
        <f aca="false">'Annual Model'!F59+$C70*'Annual Model'!F14*12*'Annual Model'!F10*(1-Assumptions!F$47-Assumptions!F$48-Assumptions!F$49-Assumptions!F$50)*(1-Assumptions!$B$56)-$D70*Assumptions!$B$73</f>
        <v>450083.0789048</v>
      </c>
      <c r="J70" s="30" t="n">
        <f aca="false">'Annual Model'!G59+$C70*'Annual Model'!G14*12*'Annual Model'!G10*(1-Assumptions!G$47-Assumptions!G$48-Assumptions!G$49-Assumptions!G$50)*(1-Assumptions!$B$56)-$D70*Assumptions!$B$73+(L70/B70)*(1-Assumptions!$B$13)-$D70</f>
        <v>6772159.66518944</v>
      </c>
      <c r="K70" s="91" t="n">
        <f aca="false">IRR(E70:J70)</f>
        <v>0.0379452968343377</v>
      </c>
      <c r="L70" s="30" t="n">
        <f aca="false">'Annual Model'!H50+$C70*Assumptions!$B$17*12*'Annual Model'!H10*(1-Assumptions!G$47-Assumptions!G$48-Assumptions!G$49-Assumptions!G$50)*(1-Assumptions!$B$56)</f>
        <v>1175257.39400237</v>
      </c>
      <c r="M70" s="30" t="n">
        <f aca="false">'Annual Model'!C50+$C70*'Annual Model'!C14*12*'Annual Model'!C10*(1-Assumptions!C$47-Assumptions!C$48-Assumptions!C$49-Assumptions!C$50)*(1-Assumptions!$B$56)</f>
        <v>868226.917416836</v>
      </c>
    </row>
    <row r="71" customFormat="false" ht="15" hidden="false" customHeight="false" outlineLevel="0" collapsed="false">
      <c r="A71" s="42" t="n">
        <v>125</v>
      </c>
      <c r="B71" s="90" t="n">
        <v>0.07</v>
      </c>
      <c r="C71" s="30" t="n">
        <f aca="false">A71-Assumptions!$B$39</f>
        <v>-41.3135593220339</v>
      </c>
      <c r="D71" s="30" t="n">
        <f aca="false">MIN(Returns!$C$22*Assumptions!$B$70,M71/Assumptions!$B$71,M71/(Assumptions!$B$72*Assumptions!$B$73))</f>
        <v>10852836.4677105</v>
      </c>
      <c r="E71" s="30" t="n">
        <f aca="false">-((Returns!$C$13-Returns!$C$27*Assumptions!$B$74)+D71*Assumptions!$B$74-D71)</f>
        <v>-6840211.89696665</v>
      </c>
      <c r="F71" s="30" t="n">
        <f aca="false">'Annual Model'!C59+$C71*'Annual Model'!C14*12*'Annual Model'!C10*(1-Assumptions!C$47-Assumptions!C$48-Assumptions!C$49-Assumptions!C$50)*(1-Assumptions!$B$56)-$D71*Assumptions!$B$73</f>
        <v>197935.984055775</v>
      </c>
      <c r="G71" s="30" t="n">
        <f aca="false">'Annual Model'!D59+$C71*'Annual Model'!D14*12*'Annual Model'!D10*(1-Assumptions!D$47-Assumptions!D$48-Assumptions!D$49-Assumptions!D$50)*(1-Assumptions!$B$56)-$D71*Assumptions!$B$73</f>
        <v>295935.903304406</v>
      </c>
      <c r="H71" s="30" t="n">
        <f aca="false">'Annual Model'!E59+$C71*'Annual Model'!E14*12*'Annual Model'!E10*(1-Assumptions!E$47-Assumptions!E$48-Assumptions!E$49-Assumptions!E$50)*(1-Assumptions!$B$56)-$D71*Assumptions!$B$73</f>
        <v>408700.951996186</v>
      </c>
      <c r="I71" s="30" t="n">
        <f aca="false">'Annual Model'!F59+$C71*'Annual Model'!F14*12*'Annual Model'!F10*(1-Assumptions!F$47-Assumptions!F$48-Assumptions!F$49-Assumptions!F$50)*(1-Assumptions!$B$56)-$D71*Assumptions!$B$73</f>
        <v>450083.0789048</v>
      </c>
      <c r="J71" s="30" t="n">
        <f aca="false">'Annual Model'!G59+$C71*'Annual Model'!G14*12*'Annual Model'!G10*(1-Assumptions!G$47-Assumptions!G$48-Assumptions!G$49-Assumptions!G$50)*(1-Assumptions!$B$56)-$D71*Assumptions!$B$73+(L71/B71)*(1-Assumptions!$B$13)-$D71</f>
        <v>6159657.79582842</v>
      </c>
      <c r="K71" s="91" t="n">
        <f aca="false">IRR(E71:J71)</f>
        <v>0.020591231738943</v>
      </c>
      <c r="L71" s="30" t="n">
        <f aca="false">'Annual Model'!H50+$C71*Assumptions!$B$17*12*'Annual Model'!H10*(1-Assumptions!G$47-Assumptions!G$48-Assumptions!G$49-Assumptions!G$50)*(1-Assumptions!$B$56)</f>
        <v>1175257.39400237</v>
      </c>
      <c r="M71" s="30" t="n">
        <f aca="false">'Annual Model'!C50+$C71*'Annual Model'!C14*12*'Annual Model'!C10*(1-Assumptions!C$47-Assumptions!C$48-Assumptions!C$49-Assumptions!C$50)*(1-Assumptions!$B$56)</f>
        <v>868226.917416836</v>
      </c>
    </row>
    <row r="72" customFormat="false" ht="15" hidden="false" customHeight="false" outlineLevel="0" collapsed="false">
      <c r="A72" s="42" t="n">
        <v>125</v>
      </c>
      <c r="B72" s="90" t="n">
        <v>0.075</v>
      </c>
      <c r="C72" s="30" t="n">
        <f aca="false">A72-Assumptions!$B$39</f>
        <v>-41.3135593220339</v>
      </c>
      <c r="D72" s="30" t="n">
        <f aca="false">MIN(Returns!$C$22*Assumptions!$B$70,M72/Assumptions!$B$71,M72/(Assumptions!$B$72*Assumptions!$B$73))</f>
        <v>10852836.4677105</v>
      </c>
      <c r="E72" s="30" t="n">
        <f aca="false">-((Returns!$C$13-Returns!$C$27*Assumptions!$B$74)+D72*Assumptions!$B$74-D72)</f>
        <v>-6840211.89696665</v>
      </c>
      <c r="F72" s="30" t="n">
        <f aca="false">'Annual Model'!C59+$C72*'Annual Model'!C14*12*'Annual Model'!C10*(1-Assumptions!C$47-Assumptions!C$48-Assumptions!C$49-Assumptions!C$50)*(1-Assumptions!$B$56)-$D72*Assumptions!$B$73</f>
        <v>197935.984055775</v>
      </c>
      <c r="G72" s="30" t="n">
        <f aca="false">'Annual Model'!D59+$C72*'Annual Model'!D14*12*'Annual Model'!D10*(1-Assumptions!D$47-Assumptions!D$48-Assumptions!D$49-Assumptions!D$50)*(1-Assumptions!$B$56)-$D72*Assumptions!$B$73</f>
        <v>295935.903304406</v>
      </c>
      <c r="H72" s="30" t="n">
        <f aca="false">'Annual Model'!E59+$C72*'Annual Model'!E14*12*'Annual Model'!E10*(1-Assumptions!E$47-Assumptions!E$48-Assumptions!E$49-Assumptions!E$50)*(1-Assumptions!$B$56)-$D72*Assumptions!$B$73</f>
        <v>408700.951996186</v>
      </c>
      <c r="I72" s="30" t="n">
        <f aca="false">'Annual Model'!F59+$C72*'Annual Model'!F14*12*'Annual Model'!F10*(1-Assumptions!F$47-Assumptions!F$48-Assumptions!F$49-Assumptions!F$50)*(1-Assumptions!$B$56)-$D72*Assumptions!$B$73</f>
        <v>450083.0789048</v>
      </c>
      <c r="J72" s="30" t="n">
        <f aca="false">'Annual Model'!G59+$C72*'Annual Model'!G14*12*'Annual Model'!G10*(1-Assumptions!G$47-Assumptions!G$48-Assumptions!G$49-Assumptions!G$50)*(1-Assumptions!$B$56)-$D72*Assumptions!$B$73+(L72/B72)*(1-Assumptions!$B$13)-$D72</f>
        <v>5057154.43097858</v>
      </c>
      <c r="K72" s="91" t="n">
        <f aca="false">IRR(E72:J72)</f>
        <v>-0.0141896259685177</v>
      </c>
      <c r="L72" s="30" t="n">
        <f aca="false">'Annual Model'!H50+$C72*Assumptions!$B$17*12*'Annual Model'!H10*(1-Assumptions!G$47-Assumptions!G$48-Assumptions!G$49-Assumptions!G$50)*(1-Assumptions!$B$56)</f>
        <v>1175257.39400237</v>
      </c>
      <c r="M72" s="30" t="n">
        <f aca="false">'Annual Model'!C50+$C72*'Annual Model'!C14*12*'Annual Model'!C10*(1-Assumptions!C$47-Assumptions!C$48-Assumptions!C$49-Assumptions!C$50)*(1-Assumptions!$B$56)</f>
        <v>868226.917416836</v>
      </c>
    </row>
    <row r="73" customFormat="false" ht="15" hidden="false" customHeight="false" outlineLevel="0" collapsed="false">
      <c r="A73" s="42" t="n">
        <v>150</v>
      </c>
      <c r="B73" s="90" t="n">
        <v>0.06</v>
      </c>
      <c r="C73" s="30" t="n">
        <f aca="false">A73-Assumptions!$B$39</f>
        <v>-16.3135593220339</v>
      </c>
      <c r="D73" s="30" t="n">
        <f aca="false">MIN(Returns!$C$22*Assumptions!$B$70,M73/Assumptions!$B$71,M73/(Assumptions!$B$72*Assumptions!$B$73))</f>
        <v>10914867.7615677</v>
      </c>
      <c r="E73" s="30" t="n">
        <f aca="false">-((Returns!$C$13-Returns!$C$27*Assumptions!$B$74)+D73*Assumptions!$B$74-D73)</f>
        <v>-6778800.91604793</v>
      </c>
      <c r="F73" s="30" t="n">
        <f aca="false">'Annual Model'!C59+$C73*'Annual Model'!C14*12*'Annual Model'!C10*(1-Assumptions!C$47-Assumptions!C$48-Assumptions!C$49-Assumptions!C$50)*(1-Assumptions!$B$56)-$D73*Assumptions!$B$73</f>
        <v>199269.656873707</v>
      </c>
      <c r="G73" s="30" t="n">
        <f aca="false">'Annual Model'!D59+$C73*'Annual Model'!D14*12*'Annual Model'!D10*(1-Assumptions!D$47-Assumptions!D$48-Assumptions!D$49-Assumptions!D$50)*(1-Assumptions!$B$56)-$D73*Assumptions!$B$73</f>
        <v>313539.097748515</v>
      </c>
      <c r="H73" s="30" t="n">
        <f aca="false">'Annual Model'!E59+$C73*'Annual Model'!E14*12*'Annual Model'!E10*(1-Assumptions!E$47-Assumptions!E$48-Assumptions!E$49-Assumptions!E$50)*(1-Assumptions!$B$56)-$D73*Assumptions!$B$73</f>
        <v>438292.281454416</v>
      </c>
      <c r="I73" s="30" t="n">
        <f aca="false">'Annual Model'!F59+$C73*'Annual Model'!F14*12*'Annual Model'!F10*(1-Assumptions!F$47-Assumptions!F$48-Assumptions!F$49-Assumptions!F$50)*(1-Assumptions!$B$56)-$D73*Assumptions!$B$73</f>
        <v>481127.3431639</v>
      </c>
      <c r="J73" s="30" t="n">
        <f aca="false">'Annual Model'!G59+$C73*'Annual Model'!G14*12*'Annual Model'!G10*(1-Assumptions!G$47-Assumptions!G$48-Assumptions!G$49-Assumptions!G$50)*(1-Assumptions!$B$56)-$D73*Assumptions!$B$73+(L73/B73)*(1-Assumptions!$B$13)-$D73</f>
        <v>9489851.30679846</v>
      </c>
      <c r="K73" s="91" t="n">
        <f aca="false">IRR(E73:J73)</f>
        <v>0.107317624897824</v>
      </c>
      <c r="L73" s="30" t="n">
        <f aca="false">'Annual Model'!H50+$C73*Assumptions!$B$17*12*'Annual Model'!H10*(1-Assumptions!G$47-Assumptions!G$48-Assumptions!G$49-Assumptions!G$50)*(1-Assumptions!$B$56)</f>
        <v>1212042.08043456</v>
      </c>
      <c r="M73" s="30" t="n">
        <f aca="false">'Annual Model'!C50+$C73*'Annual Model'!C14*12*'Annual Model'!C10*(1-Assumptions!C$47-Assumptions!C$48-Assumptions!C$49-Assumptions!C$50)*(1-Assumptions!$B$56)</f>
        <v>873189.42092542</v>
      </c>
    </row>
    <row r="74" customFormat="false" ht="15" hidden="false" customHeight="false" outlineLevel="0" collapsed="false">
      <c r="A74" s="42" t="n">
        <v>150</v>
      </c>
      <c r="B74" s="90" t="n">
        <v>0.065</v>
      </c>
      <c r="C74" s="30" t="n">
        <f aca="false">A74-Assumptions!$B$39</f>
        <v>-16.3135593220339</v>
      </c>
      <c r="D74" s="30" t="n">
        <f aca="false">MIN(Returns!$C$22*Assumptions!$B$70,M74/Assumptions!$B$71,M74/(Assumptions!$B$72*Assumptions!$B$73))</f>
        <v>10914867.7615677</v>
      </c>
      <c r="E74" s="30" t="n">
        <f aca="false">-((Returns!$C$13-Returns!$C$27*Assumptions!$B$74)+D74*Assumptions!$B$74-D74)</f>
        <v>-6778800.91604793</v>
      </c>
      <c r="F74" s="30" t="n">
        <f aca="false">'Annual Model'!C59+$C74*'Annual Model'!C14*12*'Annual Model'!C10*(1-Assumptions!C$47-Assumptions!C$48-Assumptions!C$49-Assumptions!C$50)*(1-Assumptions!$B$56)-$D74*Assumptions!$B$73</f>
        <v>199269.656873707</v>
      </c>
      <c r="G74" s="30" t="n">
        <f aca="false">'Annual Model'!D59+$C74*'Annual Model'!D14*12*'Annual Model'!D10*(1-Assumptions!D$47-Assumptions!D$48-Assumptions!D$49-Assumptions!D$50)*(1-Assumptions!$B$56)-$D74*Assumptions!$B$73</f>
        <v>313539.097748515</v>
      </c>
      <c r="H74" s="30" t="n">
        <f aca="false">'Annual Model'!E59+$C74*'Annual Model'!E14*12*'Annual Model'!E10*(1-Assumptions!E$47-Assumptions!E$48-Assumptions!E$49-Assumptions!E$50)*(1-Assumptions!$B$56)-$D74*Assumptions!$B$73</f>
        <v>438292.281454416</v>
      </c>
      <c r="I74" s="30" t="n">
        <f aca="false">'Annual Model'!F59+$C74*'Annual Model'!F14*12*'Annual Model'!F10*(1-Assumptions!F$47-Assumptions!F$48-Assumptions!F$49-Assumptions!F$50)*(1-Assumptions!$B$56)-$D74*Assumptions!$B$73</f>
        <v>481127.3431639</v>
      </c>
      <c r="J74" s="30" t="n">
        <f aca="false">'Annual Model'!G59+$C74*'Annual Model'!G14*12*'Annual Model'!G10*(1-Assumptions!G$47-Assumptions!G$48-Assumptions!G$49-Assumptions!G$50)*(1-Assumptions!$B$56)-$D74*Assumptions!$B$73+(L74/B74)*(1-Assumptions!$B$13)-$D74</f>
        <v>7959259.70522404</v>
      </c>
      <c r="K74" s="91" t="n">
        <f aca="false">IRR(E74:J74)</f>
        <v>0.07275753938268</v>
      </c>
      <c r="L74" s="30" t="n">
        <f aca="false">'Annual Model'!H50+$C74*Assumptions!$B$17*12*'Annual Model'!H10*(1-Assumptions!G$47-Assumptions!G$48-Assumptions!G$49-Assumptions!G$50)*(1-Assumptions!$B$56)</f>
        <v>1212042.08043456</v>
      </c>
      <c r="M74" s="30" t="n">
        <f aca="false">'Annual Model'!C50+$C74*'Annual Model'!C14*12*'Annual Model'!C10*(1-Assumptions!C$47-Assumptions!C$48-Assumptions!C$49-Assumptions!C$50)*(1-Assumptions!$B$56)</f>
        <v>873189.42092542</v>
      </c>
    </row>
    <row r="75" customFormat="false" ht="15" hidden="false" customHeight="false" outlineLevel="0" collapsed="false">
      <c r="A75" s="42" t="n">
        <v>150</v>
      </c>
      <c r="B75" s="90" t="n">
        <v>0.0675</v>
      </c>
      <c r="C75" s="30" t="n">
        <f aca="false">A75-Assumptions!$B$39</f>
        <v>-16.3135593220339</v>
      </c>
      <c r="D75" s="30" t="n">
        <f aca="false">MIN(Returns!$C$22*Assumptions!$B$70,M75/Assumptions!$B$71,M75/(Assumptions!$B$72*Assumptions!$B$73))</f>
        <v>10914867.7615677</v>
      </c>
      <c r="E75" s="30" t="n">
        <f aca="false">-((Returns!$C$13-Returns!$C$27*Assumptions!$B$74)+D75*Assumptions!$B$74-D75)</f>
        <v>-6778800.91604793</v>
      </c>
      <c r="F75" s="30" t="n">
        <f aca="false">'Annual Model'!C59+$C75*'Annual Model'!C14*12*'Annual Model'!C10*(1-Assumptions!C$47-Assumptions!C$48-Assumptions!C$49-Assumptions!C$50)*(1-Assumptions!$B$56)-$D75*Assumptions!$B$73</f>
        <v>199269.656873707</v>
      </c>
      <c r="G75" s="30" t="n">
        <f aca="false">'Annual Model'!D59+$C75*'Annual Model'!D14*12*'Annual Model'!D10*(1-Assumptions!D$47-Assumptions!D$48-Assumptions!D$49-Assumptions!D$50)*(1-Assumptions!$B$56)-$D75*Assumptions!$B$73</f>
        <v>313539.097748515</v>
      </c>
      <c r="H75" s="30" t="n">
        <f aca="false">'Annual Model'!E59+$C75*'Annual Model'!E14*12*'Annual Model'!E10*(1-Assumptions!E$47-Assumptions!E$48-Assumptions!E$49-Assumptions!E$50)*(1-Assumptions!$B$56)-$D75*Assumptions!$B$73</f>
        <v>438292.281454416</v>
      </c>
      <c r="I75" s="30" t="n">
        <f aca="false">'Annual Model'!F59+$C75*'Annual Model'!F14*12*'Annual Model'!F10*(1-Assumptions!F$47-Assumptions!F$48-Assumptions!F$49-Assumptions!F$50)*(1-Assumptions!$B$56)-$D75*Assumptions!$B$73</f>
        <v>481127.3431639</v>
      </c>
      <c r="J75" s="30" t="n">
        <f aca="false">'Annual Model'!G59+$C75*'Annual Model'!G14*12*'Annual Model'!G10*(1-Assumptions!G$47-Assumptions!G$48-Assumptions!G$49-Assumptions!G$50)*(1-Assumptions!$B$56)-$D75*Assumptions!$B$73+(L75/B75)*(1-Assumptions!$B$13)-$D75</f>
        <v>7278996.77119097</v>
      </c>
      <c r="K75" s="91" t="n">
        <f aca="false">IRR(E75:J75)</f>
        <v>0.0557714958660363</v>
      </c>
      <c r="L75" s="30" t="n">
        <f aca="false">'Annual Model'!H50+$C75*Assumptions!$B$17*12*'Annual Model'!H10*(1-Assumptions!G$47-Assumptions!G$48-Assumptions!G$49-Assumptions!G$50)*(1-Assumptions!$B$56)</f>
        <v>1212042.08043456</v>
      </c>
      <c r="M75" s="30" t="n">
        <f aca="false">'Annual Model'!C50+$C75*'Annual Model'!C14*12*'Annual Model'!C10*(1-Assumptions!C$47-Assumptions!C$48-Assumptions!C$49-Assumptions!C$50)*(1-Assumptions!$B$56)</f>
        <v>873189.42092542</v>
      </c>
    </row>
    <row r="76" customFormat="false" ht="15" hidden="false" customHeight="false" outlineLevel="0" collapsed="false">
      <c r="A76" s="42" t="n">
        <v>150</v>
      </c>
      <c r="B76" s="90" t="n">
        <v>0.07</v>
      </c>
      <c r="C76" s="30" t="n">
        <f aca="false">A76-Assumptions!$B$39</f>
        <v>-16.3135593220339</v>
      </c>
      <c r="D76" s="30" t="n">
        <f aca="false">MIN(Returns!$C$22*Assumptions!$B$70,M76/Assumptions!$B$71,M76/(Assumptions!$B$72*Assumptions!$B$73))</f>
        <v>10914867.7615677</v>
      </c>
      <c r="E76" s="30" t="n">
        <f aca="false">-((Returns!$C$13-Returns!$C$27*Assumptions!$B$74)+D76*Assumptions!$B$74-D76)</f>
        <v>-6778800.91604793</v>
      </c>
      <c r="F76" s="30" t="n">
        <f aca="false">'Annual Model'!C59+$C76*'Annual Model'!C14*12*'Annual Model'!C10*(1-Assumptions!C$47-Assumptions!C$48-Assumptions!C$49-Assumptions!C$50)*(1-Assumptions!$B$56)-$D76*Assumptions!$B$73</f>
        <v>199269.656873707</v>
      </c>
      <c r="G76" s="30" t="n">
        <f aca="false">'Annual Model'!D59+$C76*'Annual Model'!D14*12*'Annual Model'!D10*(1-Assumptions!D$47-Assumptions!D$48-Assumptions!D$49-Assumptions!D$50)*(1-Assumptions!$B$56)-$D76*Assumptions!$B$73</f>
        <v>313539.097748515</v>
      </c>
      <c r="H76" s="30" t="n">
        <f aca="false">'Annual Model'!E59+$C76*'Annual Model'!E14*12*'Annual Model'!E10*(1-Assumptions!E$47-Assumptions!E$48-Assumptions!E$49-Assumptions!E$50)*(1-Assumptions!$B$56)-$D76*Assumptions!$B$73</f>
        <v>438292.281454416</v>
      </c>
      <c r="I76" s="30" t="n">
        <f aca="false">'Annual Model'!F59+$C76*'Annual Model'!F14*12*'Annual Model'!F10*(1-Assumptions!F$47-Assumptions!F$48-Assumptions!F$49-Assumptions!F$50)*(1-Assumptions!$B$56)-$D76*Assumptions!$B$73</f>
        <v>481127.3431639</v>
      </c>
      <c r="J76" s="30" t="n">
        <f aca="false">'Annual Model'!G59+$C76*'Annual Model'!G14*12*'Annual Model'!G10*(1-Assumptions!G$47-Assumptions!G$48-Assumptions!G$49-Assumptions!G$50)*(1-Assumptions!$B$56)-$D76*Assumptions!$B$73+(L76/B76)*(1-Assumptions!$B$13)-$D76</f>
        <v>6647324.04673169</v>
      </c>
      <c r="K76" s="91" t="n">
        <f aca="false">IRR(E76:J76)</f>
        <v>0.0389000485382548</v>
      </c>
      <c r="L76" s="30" t="n">
        <f aca="false">'Annual Model'!H50+$C76*Assumptions!$B$17*12*'Annual Model'!H10*(1-Assumptions!G$47-Assumptions!G$48-Assumptions!G$49-Assumptions!G$50)*(1-Assumptions!$B$56)</f>
        <v>1212042.08043456</v>
      </c>
      <c r="M76" s="30" t="n">
        <f aca="false">'Annual Model'!C50+$C76*'Annual Model'!C14*12*'Annual Model'!C10*(1-Assumptions!C$47-Assumptions!C$48-Assumptions!C$49-Assumptions!C$50)*(1-Assumptions!$B$56)</f>
        <v>873189.42092542</v>
      </c>
    </row>
    <row r="77" customFormat="false" ht="15" hidden="false" customHeight="false" outlineLevel="0" collapsed="false">
      <c r="A77" s="42" t="n">
        <v>150</v>
      </c>
      <c r="B77" s="90" t="n">
        <v>0.075</v>
      </c>
      <c r="C77" s="30" t="n">
        <f aca="false">A77-Assumptions!$B$39</f>
        <v>-16.3135593220339</v>
      </c>
      <c r="D77" s="30" t="n">
        <f aca="false">MIN(Returns!$C$22*Assumptions!$B$70,M77/Assumptions!$B$71,M77/(Assumptions!$B$72*Assumptions!$B$73))</f>
        <v>10914867.7615677</v>
      </c>
      <c r="E77" s="30" t="n">
        <f aca="false">-((Returns!$C$13-Returns!$C$27*Assumptions!$B$74)+D77*Assumptions!$B$74-D77)</f>
        <v>-6778800.91604793</v>
      </c>
      <c r="F77" s="30" t="n">
        <f aca="false">'Annual Model'!C59+$C77*'Annual Model'!C14*12*'Annual Model'!C10*(1-Assumptions!C$47-Assumptions!C$48-Assumptions!C$49-Assumptions!C$50)*(1-Assumptions!$B$56)-$D77*Assumptions!$B$73</f>
        <v>199269.656873707</v>
      </c>
      <c r="G77" s="30" t="n">
        <f aca="false">'Annual Model'!D59+$C77*'Annual Model'!D14*12*'Annual Model'!D10*(1-Assumptions!D$47-Assumptions!D$48-Assumptions!D$49-Assumptions!D$50)*(1-Assumptions!$B$56)-$D77*Assumptions!$B$73</f>
        <v>313539.097748515</v>
      </c>
      <c r="H77" s="30" t="n">
        <f aca="false">'Annual Model'!E59+$C77*'Annual Model'!E14*12*'Annual Model'!E10*(1-Assumptions!E$47-Assumptions!E$48-Assumptions!E$49-Assumptions!E$50)*(1-Assumptions!$B$56)-$D77*Assumptions!$B$73</f>
        <v>438292.281454416</v>
      </c>
      <c r="I77" s="30" t="n">
        <f aca="false">'Annual Model'!F59+$C77*'Annual Model'!F14*12*'Annual Model'!F10*(1-Assumptions!F$47-Assumptions!F$48-Assumptions!F$49-Assumptions!F$50)*(1-Assumptions!$B$56)-$D77*Assumptions!$B$73</f>
        <v>481127.3431639</v>
      </c>
      <c r="J77" s="30" t="n">
        <f aca="false">'Annual Model'!G59+$C77*'Annual Model'!G14*12*'Annual Model'!G10*(1-Assumptions!G$47-Assumptions!G$48-Assumptions!G$49-Assumptions!G$50)*(1-Assumptions!$B$56)-$D77*Assumptions!$B$73+(L77/B77)*(1-Assumptions!$B$13)-$D77</f>
        <v>5510313.14270499</v>
      </c>
      <c r="K77" s="91" t="n">
        <f aca="false">IRR(E77:J77)</f>
        <v>0.00525764868400853</v>
      </c>
      <c r="L77" s="30" t="n">
        <f aca="false">'Annual Model'!H50+$C77*Assumptions!$B$17*12*'Annual Model'!H10*(1-Assumptions!G$47-Assumptions!G$48-Assumptions!G$49-Assumptions!G$50)*(1-Assumptions!$B$56)</f>
        <v>1212042.08043456</v>
      </c>
      <c r="M77" s="30" t="n">
        <f aca="false">'Annual Model'!C50+$C77*'Annual Model'!C14*12*'Annual Model'!C10*(1-Assumptions!C$47-Assumptions!C$48-Assumptions!C$49-Assumptions!C$50)*(1-Assumptions!$B$56)</f>
        <v>873189.42092542</v>
      </c>
    </row>
    <row r="78" customFormat="false" ht="15" hidden="false" customHeight="false" outlineLevel="0" collapsed="false">
      <c r="A78" s="42" t="n">
        <v>166</v>
      </c>
      <c r="B78" s="90" t="n">
        <v>0.06</v>
      </c>
      <c r="C78" s="30" t="n">
        <f aca="false">A78-Assumptions!$B$39</f>
        <v>-0.31355932203391</v>
      </c>
      <c r="D78" s="30" t="n">
        <f aca="false">MIN(Returns!$C$22*Assumptions!$B$70,M78/Assumptions!$B$71,M78/(Assumptions!$B$72*Assumptions!$B$73))</f>
        <v>10954567.7896364</v>
      </c>
      <c r="E78" s="30" t="n">
        <f aca="false">-((Returns!$C$13-Returns!$C$27*Assumptions!$B$74)+D78*Assumptions!$B$74-D78)</f>
        <v>-6739497.88825996</v>
      </c>
      <c r="F78" s="30" t="n">
        <f aca="false">'Annual Model'!C59+$C78*'Annual Model'!C14*12*'Annual Model'!C10*(1-Assumptions!C$47-Assumptions!C$48-Assumptions!C$49-Assumptions!C$50)*(1-Assumptions!$B$56)-$D78*Assumptions!$B$73</f>
        <v>200123.207477183</v>
      </c>
      <c r="G78" s="30" t="n">
        <f aca="false">'Annual Model'!D59+$C78*'Annual Model'!D14*12*'Annual Model'!D10*(1-Assumptions!D$47-Assumptions!D$48-Assumptions!D$49-Assumptions!D$50)*(1-Assumptions!$B$56)-$D78*Assumptions!$B$73</f>
        <v>324805.142192745</v>
      </c>
      <c r="H78" s="30" t="n">
        <f aca="false">'Annual Model'!E59+$C78*'Annual Model'!E14*12*'Annual Model'!E10*(1-Assumptions!E$47-Assumptions!E$48-Assumptions!E$49-Assumptions!E$50)*(1-Assumptions!$B$56)-$D78*Assumptions!$B$73</f>
        <v>457230.732307684</v>
      </c>
      <c r="I78" s="30" t="n">
        <f aca="false">'Annual Model'!F59+$C78*'Annual Model'!F14*12*'Annual Model'!F10*(1-Assumptions!F$47-Assumptions!F$48-Assumptions!F$49-Assumptions!F$50)*(1-Assumptions!$B$56)-$D78*Assumptions!$B$73</f>
        <v>500995.672289724</v>
      </c>
      <c r="J78" s="30" t="n">
        <f aca="false">'Annual Model'!G59+$C78*'Annual Model'!G14*12*'Annual Model'!G10*(1-Assumptions!G$47-Assumptions!G$48-Assumptions!G$49-Assumptions!G$50)*(1-Assumptions!$B$56)-$D78*Assumptions!$B$73+(L78/B78)*(1-Assumptions!$B$13)-$D78</f>
        <v>9857169.77005953</v>
      </c>
      <c r="K78" s="91" t="n">
        <f aca="false">IRR(E78:J78)</f>
        <v>0.117665676173316</v>
      </c>
      <c r="L78" s="30" t="n">
        <f aca="false">'Annual Model'!H50+$C78*Assumptions!$B$17*12*'Annual Model'!H10*(1-Assumptions!G$47-Assumptions!G$48-Assumptions!G$49-Assumptions!G$50)*(1-Assumptions!$B$56)</f>
        <v>1235584.27975116</v>
      </c>
      <c r="M78" s="30" t="n">
        <f aca="false">'Annual Model'!C50+$C78*'Annual Model'!C14*12*'Annual Model'!C10*(1-Assumptions!C$47-Assumptions!C$48-Assumptions!C$49-Assumptions!C$50)*(1-Assumptions!$B$56)</f>
        <v>876365.423170913</v>
      </c>
    </row>
    <row r="79" customFormat="false" ht="15" hidden="false" customHeight="false" outlineLevel="0" collapsed="false">
      <c r="A79" s="42" t="n">
        <v>166</v>
      </c>
      <c r="B79" s="90" t="n">
        <v>0.065</v>
      </c>
      <c r="C79" s="30" t="n">
        <f aca="false">A79-Assumptions!$B$39</f>
        <v>-0.31355932203391</v>
      </c>
      <c r="D79" s="30" t="n">
        <f aca="false">MIN(Returns!$C$22*Assumptions!$B$70,M79/Assumptions!$B$71,M79/(Assumptions!$B$72*Assumptions!$B$73))</f>
        <v>10954567.7896364</v>
      </c>
      <c r="E79" s="30" t="n">
        <f aca="false">-((Returns!$C$13-Returns!$C$27*Assumptions!$B$74)+D79*Assumptions!$B$74-D79)</f>
        <v>-6739497.88825996</v>
      </c>
      <c r="F79" s="30" t="n">
        <f aca="false">'Annual Model'!C59+$C79*'Annual Model'!C14*12*'Annual Model'!C10*(1-Assumptions!C$47-Assumptions!C$48-Assumptions!C$49-Assumptions!C$50)*(1-Assumptions!$B$56)-$D79*Assumptions!$B$73</f>
        <v>200123.207477183</v>
      </c>
      <c r="G79" s="30" t="n">
        <f aca="false">'Annual Model'!D59+$C79*'Annual Model'!D14*12*'Annual Model'!D10*(1-Assumptions!D$47-Assumptions!D$48-Assumptions!D$49-Assumptions!D$50)*(1-Assumptions!$B$56)-$D79*Assumptions!$B$73</f>
        <v>324805.142192745</v>
      </c>
      <c r="H79" s="30" t="n">
        <f aca="false">'Annual Model'!E59+$C79*'Annual Model'!E14*12*'Annual Model'!E10*(1-Assumptions!E$47-Assumptions!E$48-Assumptions!E$49-Assumptions!E$50)*(1-Assumptions!$B$56)-$D79*Assumptions!$B$73</f>
        <v>457230.732307684</v>
      </c>
      <c r="I79" s="30" t="n">
        <f aca="false">'Annual Model'!F59+$C79*'Annual Model'!F14*12*'Annual Model'!F10*(1-Assumptions!F$47-Assumptions!F$48-Assumptions!F$49-Assumptions!F$50)*(1-Assumptions!$B$56)-$D79*Assumptions!$B$73</f>
        <v>500995.672289724</v>
      </c>
      <c r="J79" s="30" t="n">
        <f aca="false">'Annual Model'!G59+$C79*'Annual Model'!G14*12*'Annual Model'!G10*(1-Assumptions!G$47-Assumptions!G$48-Assumptions!G$49-Assumptions!G$50)*(1-Assumptions!$B$56)-$D79*Assumptions!$B$73+(L79/B79)*(1-Assumptions!$B$13)-$D79</f>
        <v>8296848.59627121</v>
      </c>
      <c r="K79" s="91" t="n">
        <f aca="false">IRR(E79:J79)</f>
        <v>0.0835323152269318</v>
      </c>
      <c r="L79" s="30" t="n">
        <f aca="false">'Annual Model'!H50+$C79*Assumptions!$B$17*12*'Annual Model'!H10*(1-Assumptions!G$47-Assumptions!G$48-Assumptions!G$49-Assumptions!G$50)*(1-Assumptions!$B$56)</f>
        <v>1235584.27975116</v>
      </c>
      <c r="M79" s="30" t="n">
        <f aca="false">'Annual Model'!C50+$C79*'Annual Model'!C14*12*'Annual Model'!C10*(1-Assumptions!C$47-Assumptions!C$48-Assumptions!C$49-Assumptions!C$50)*(1-Assumptions!$B$56)</f>
        <v>876365.423170913</v>
      </c>
    </row>
    <row r="80" customFormat="false" ht="15" hidden="false" customHeight="false" outlineLevel="0" collapsed="false">
      <c r="A80" s="42" t="n">
        <v>166</v>
      </c>
      <c r="B80" s="90" t="n">
        <v>0.0675</v>
      </c>
      <c r="C80" s="30" t="n">
        <f aca="false">A80-Assumptions!$B$39</f>
        <v>-0.31355932203391</v>
      </c>
      <c r="D80" s="30" t="n">
        <f aca="false">MIN(Returns!$C$22*Assumptions!$B$70,M80/Assumptions!$B$71,M80/(Assumptions!$B$72*Assumptions!$B$73))</f>
        <v>10954567.7896364</v>
      </c>
      <c r="E80" s="30" t="n">
        <f aca="false">-((Returns!$C$13-Returns!$C$27*Assumptions!$B$74)+D80*Assumptions!$B$74-D80)</f>
        <v>-6739497.88825996</v>
      </c>
      <c r="F80" s="30" t="n">
        <f aca="false">'Annual Model'!C59+$C80*'Annual Model'!C14*12*'Annual Model'!C10*(1-Assumptions!C$47-Assumptions!C$48-Assumptions!C$49-Assumptions!C$50)*(1-Assumptions!$B$56)-$D80*Assumptions!$B$73</f>
        <v>200123.207477183</v>
      </c>
      <c r="G80" s="30" t="n">
        <f aca="false">'Annual Model'!D59+$C80*'Annual Model'!D14*12*'Annual Model'!D10*(1-Assumptions!D$47-Assumptions!D$48-Assumptions!D$49-Assumptions!D$50)*(1-Assumptions!$B$56)-$D80*Assumptions!$B$73</f>
        <v>324805.142192745</v>
      </c>
      <c r="H80" s="30" t="n">
        <f aca="false">'Annual Model'!E59+$C80*'Annual Model'!E14*12*'Annual Model'!E10*(1-Assumptions!E$47-Assumptions!E$48-Assumptions!E$49-Assumptions!E$50)*(1-Assumptions!$B$56)-$D80*Assumptions!$B$73</f>
        <v>457230.732307684</v>
      </c>
      <c r="I80" s="30" t="n">
        <f aca="false">'Annual Model'!F59+$C80*'Annual Model'!F14*12*'Annual Model'!F10*(1-Assumptions!F$47-Assumptions!F$48-Assumptions!F$49-Assumptions!F$50)*(1-Assumptions!$B$56)-$D80*Assumptions!$B$73</f>
        <v>500995.672289724</v>
      </c>
      <c r="J80" s="30" t="n">
        <f aca="false">'Annual Model'!G59+$C80*'Annual Model'!G14*12*'Annual Model'!G10*(1-Assumptions!G$47-Assumptions!G$48-Assumptions!G$49-Assumptions!G$50)*(1-Assumptions!$B$56)-$D80*Assumptions!$B$73+(L80/B80)*(1-Assumptions!$B$13)-$D80</f>
        <v>7603372.51903195</v>
      </c>
      <c r="K80" s="91" t="n">
        <f aca="false">IRR(E80:J80)</f>
        <v>0.066793459268918</v>
      </c>
      <c r="L80" s="30" t="n">
        <f aca="false">'Annual Model'!H50+$C80*Assumptions!$B$17*12*'Annual Model'!H10*(1-Assumptions!G$47-Assumptions!G$48-Assumptions!G$49-Assumptions!G$50)*(1-Assumptions!$B$56)</f>
        <v>1235584.27975116</v>
      </c>
      <c r="M80" s="30" t="n">
        <f aca="false">'Annual Model'!C50+$C80*'Annual Model'!C14*12*'Annual Model'!C10*(1-Assumptions!C$47-Assumptions!C$48-Assumptions!C$49-Assumptions!C$50)*(1-Assumptions!$B$56)</f>
        <v>876365.423170913</v>
      </c>
    </row>
    <row r="81" customFormat="false" ht="15" hidden="false" customHeight="false" outlineLevel="0" collapsed="false">
      <c r="A81" s="42" t="n">
        <v>166</v>
      </c>
      <c r="B81" s="90" t="n">
        <v>0.07</v>
      </c>
      <c r="C81" s="30" t="n">
        <f aca="false">A81-Assumptions!$B$39</f>
        <v>-0.31355932203391</v>
      </c>
      <c r="D81" s="30" t="n">
        <f aca="false">MIN(Returns!$C$22*Assumptions!$B$70,M81/Assumptions!$B$71,M81/(Assumptions!$B$72*Assumptions!$B$73))</f>
        <v>10954567.7896364</v>
      </c>
      <c r="E81" s="30" t="n">
        <f aca="false">-((Returns!$C$13-Returns!$C$27*Assumptions!$B$74)+D81*Assumptions!$B$74-D81)</f>
        <v>-6739497.88825996</v>
      </c>
      <c r="F81" s="30" t="n">
        <f aca="false">'Annual Model'!C59+$C81*'Annual Model'!C14*12*'Annual Model'!C10*(1-Assumptions!C$47-Assumptions!C$48-Assumptions!C$49-Assumptions!C$50)*(1-Assumptions!$B$56)-$D81*Assumptions!$B$73</f>
        <v>200123.207477183</v>
      </c>
      <c r="G81" s="30" t="n">
        <f aca="false">'Annual Model'!D59+$C81*'Annual Model'!D14*12*'Annual Model'!D10*(1-Assumptions!D$47-Assumptions!D$48-Assumptions!D$49-Assumptions!D$50)*(1-Assumptions!$B$56)-$D81*Assumptions!$B$73</f>
        <v>324805.142192745</v>
      </c>
      <c r="H81" s="30" t="n">
        <f aca="false">'Annual Model'!E59+$C81*'Annual Model'!E14*12*'Annual Model'!E10*(1-Assumptions!E$47-Assumptions!E$48-Assumptions!E$49-Assumptions!E$50)*(1-Assumptions!$B$56)-$D81*Assumptions!$B$73</f>
        <v>457230.732307684</v>
      </c>
      <c r="I81" s="30" t="n">
        <f aca="false">'Annual Model'!F59+$C81*'Annual Model'!F14*12*'Annual Model'!F10*(1-Assumptions!F$47-Assumptions!F$48-Assumptions!F$49-Assumptions!F$50)*(1-Assumptions!$B$56)-$D81*Assumptions!$B$73</f>
        <v>500995.672289724</v>
      </c>
      <c r="J81" s="30" t="n">
        <f aca="false">'Annual Model'!G59+$C81*'Annual Model'!G14*12*'Annual Model'!G10*(1-Assumptions!G$47-Assumptions!G$48-Assumptions!G$49-Assumptions!G$50)*(1-Assumptions!$B$56)-$D81*Assumptions!$B$73+(L81/B81)*(1-Assumptions!$B$13)-$D81</f>
        <v>6959430.44730978</v>
      </c>
      <c r="K81" s="91" t="n">
        <f aca="false">IRR(E81:J81)</f>
        <v>0.0501953892076763</v>
      </c>
      <c r="L81" s="30" t="n">
        <f aca="false">'Annual Model'!H50+$C81*Assumptions!$B$17*12*'Annual Model'!H10*(1-Assumptions!G$47-Assumptions!G$48-Assumptions!G$49-Assumptions!G$50)*(1-Assumptions!$B$56)</f>
        <v>1235584.27975116</v>
      </c>
      <c r="M81" s="30" t="n">
        <f aca="false">'Annual Model'!C50+$C81*'Annual Model'!C14*12*'Annual Model'!C10*(1-Assumptions!C$47-Assumptions!C$48-Assumptions!C$49-Assumptions!C$50)*(1-Assumptions!$B$56)</f>
        <v>876365.423170913</v>
      </c>
    </row>
    <row r="82" customFormat="false" ht="15" hidden="false" customHeight="false" outlineLevel="0" collapsed="false">
      <c r="A82" s="42" t="n">
        <v>166</v>
      </c>
      <c r="B82" s="90" t="n">
        <v>0.075</v>
      </c>
      <c r="C82" s="30" t="n">
        <f aca="false">A82-Assumptions!$B$39</f>
        <v>-0.31355932203391</v>
      </c>
      <c r="D82" s="30" t="n">
        <f aca="false">MIN(Returns!$C$22*Assumptions!$B$70,M82/Assumptions!$B$71,M82/(Assumptions!$B$72*Assumptions!$B$73))</f>
        <v>10954567.7896364</v>
      </c>
      <c r="E82" s="30" t="n">
        <f aca="false">-((Returns!$C$13-Returns!$C$27*Assumptions!$B$74)+D82*Assumptions!$B$74-D82)</f>
        <v>-6739497.88825996</v>
      </c>
      <c r="F82" s="30" t="n">
        <f aca="false">'Annual Model'!C59+$C82*'Annual Model'!C14*12*'Annual Model'!C10*(1-Assumptions!C$47-Assumptions!C$48-Assumptions!C$49-Assumptions!C$50)*(1-Assumptions!$B$56)-$D82*Assumptions!$B$73</f>
        <v>200123.207477183</v>
      </c>
      <c r="G82" s="30" t="n">
        <f aca="false">'Annual Model'!D59+$C82*'Annual Model'!D14*12*'Annual Model'!D10*(1-Assumptions!D$47-Assumptions!D$48-Assumptions!D$49-Assumptions!D$50)*(1-Assumptions!$B$56)-$D82*Assumptions!$B$73</f>
        <v>324805.142192745</v>
      </c>
      <c r="H82" s="30" t="n">
        <f aca="false">'Annual Model'!E59+$C82*'Annual Model'!E14*12*'Annual Model'!E10*(1-Assumptions!E$47-Assumptions!E$48-Assumptions!E$49-Assumptions!E$50)*(1-Assumptions!$B$56)-$D82*Assumptions!$B$73</f>
        <v>457230.732307684</v>
      </c>
      <c r="I82" s="30" t="n">
        <f aca="false">'Annual Model'!F59+$C82*'Annual Model'!F14*12*'Annual Model'!F10*(1-Assumptions!F$47-Assumptions!F$48-Assumptions!F$49-Assumptions!F$50)*(1-Assumptions!$B$56)-$D82*Assumptions!$B$73</f>
        <v>500995.672289724</v>
      </c>
      <c r="J82" s="30" t="n">
        <f aca="false">'Annual Model'!G59+$C82*'Annual Model'!G14*12*'Annual Model'!G10*(1-Assumptions!G$47-Assumptions!G$48-Assumptions!G$49-Assumptions!G$50)*(1-Assumptions!$B$56)-$D82*Assumptions!$B$73+(L82/B82)*(1-Assumptions!$B$13)-$D82</f>
        <v>5800334.71820989</v>
      </c>
      <c r="K82" s="91" t="n">
        <f aca="false">IRR(E82:J82)</f>
        <v>0.0171929722839729</v>
      </c>
      <c r="L82" s="30" t="n">
        <f aca="false">'Annual Model'!H50+$C82*Assumptions!$B$17*12*'Annual Model'!H10*(1-Assumptions!G$47-Assumptions!G$48-Assumptions!G$49-Assumptions!G$50)*(1-Assumptions!$B$56)</f>
        <v>1235584.27975116</v>
      </c>
      <c r="M82" s="30" t="n">
        <f aca="false">'Annual Model'!C50+$C82*'Annual Model'!C14*12*'Annual Model'!C10*(1-Assumptions!C$47-Assumptions!C$48-Assumptions!C$49-Assumptions!C$50)*(1-Assumptions!$B$56)</f>
        <v>876365.423170913</v>
      </c>
    </row>
    <row r="83" customFormat="false" ht="15" hidden="false" customHeight="false" outlineLevel="0" collapsed="false">
      <c r="A83" s="42" t="n">
        <v>190</v>
      </c>
      <c r="B83" s="90" t="n">
        <v>0.06</v>
      </c>
      <c r="C83" s="30" t="n">
        <f aca="false">A83-Assumptions!$B$39</f>
        <v>23.6864406779661</v>
      </c>
      <c r="D83" s="30" t="n">
        <f aca="false">MIN(Returns!$C$22*Assumptions!$B$70,M83/Assumptions!$B$71,M83/(Assumptions!$B$72*Assumptions!$B$73))</f>
        <v>11014117.8317394</v>
      </c>
      <c r="E83" s="30" t="n">
        <f aca="false">-((Returns!$C$13-Returns!$C$27*Assumptions!$B$74)+D83*Assumptions!$B$74-D83)</f>
        <v>-6680543.34657799</v>
      </c>
      <c r="F83" s="30" t="n">
        <f aca="false">'Annual Model'!C59+$C83*'Annual Model'!C14*12*'Annual Model'!C10*(1-Assumptions!C$47-Assumptions!C$48-Assumptions!C$49-Assumptions!C$50)*(1-Assumptions!$B$56)-$D83*Assumptions!$B$73</f>
        <v>201403.533382397</v>
      </c>
      <c r="G83" s="30" t="n">
        <f aca="false">'Annual Model'!D59+$C83*'Annual Model'!D14*12*'Annual Model'!D10*(1-Assumptions!D$47-Assumptions!D$48-Assumptions!D$49-Assumptions!D$50)*(1-Assumptions!$B$56)-$D83*Assumptions!$B$73</f>
        <v>341704.20885909</v>
      </c>
      <c r="H83" s="30" t="n">
        <f aca="false">'Annual Model'!E59+$C83*'Annual Model'!E14*12*'Annual Model'!E10*(1-Assumptions!E$47-Assumptions!E$48-Assumptions!E$49-Assumptions!E$50)*(1-Assumptions!$B$56)-$D83*Assumptions!$B$73</f>
        <v>485638.408587585</v>
      </c>
      <c r="I83" s="30" t="n">
        <f aca="false">'Annual Model'!F59+$C83*'Annual Model'!F14*12*'Annual Model'!F10*(1-Assumptions!F$47-Assumptions!F$48-Assumptions!F$49-Assumptions!F$50)*(1-Assumptions!$B$56)-$D83*Assumptions!$B$73</f>
        <v>530798.165978459</v>
      </c>
      <c r="J83" s="30" t="n">
        <f aca="false">'Annual Model'!G59+$C83*'Annual Model'!G14*12*'Annual Model'!G10*(1-Assumptions!G$47-Assumptions!G$48-Assumptions!G$49-Assumptions!G$50)*(1-Assumptions!$B$56)-$D83*Assumptions!$B$73+(L83/B83)*(1-Assumptions!$B$13)-$D83</f>
        <v>10408147.4649511</v>
      </c>
      <c r="K83" s="91" t="n">
        <f aca="false">IRR(E83:J83)</f>
        <v>0.132785702569062</v>
      </c>
      <c r="L83" s="30" t="n">
        <f aca="false">'Annual Model'!H50+$C83*Assumptions!$B$17*12*'Annual Model'!H10*(1-Assumptions!G$47-Assumptions!G$48-Assumptions!G$49-Assumptions!G$50)*(1-Assumptions!$B$56)</f>
        <v>1270897.57872606</v>
      </c>
      <c r="M83" s="30" t="n">
        <f aca="false">'Annual Model'!C50+$C83*'Annual Model'!C14*12*'Annual Model'!C10*(1-Assumptions!C$47-Assumptions!C$48-Assumptions!C$49-Assumptions!C$50)*(1-Assumptions!$B$56)</f>
        <v>881129.426539153</v>
      </c>
    </row>
    <row r="84" customFormat="false" ht="15" hidden="false" customHeight="false" outlineLevel="0" collapsed="false">
      <c r="A84" s="42" t="n">
        <v>190</v>
      </c>
      <c r="B84" s="90" t="n">
        <v>0.065</v>
      </c>
      <c r="C84" s="30" t="n">
        <f aca="false">A84-Assumptions!$B$39</f>
        <v>23.6864406779661</v>
      </c>
      <c r="D84" s="30" t="n">
        <f aca="false">MIN(Returns!$C$22*Assumptions!$B$70,M84/Assumptions!$B$71,M84/(Assumptions!$B$72*Assumptions!$B$73))</f>
        <v>11014117.8317394</v>
      </c>
      <c r="E84" s="30" t="n">
        <f aca="false">-((Returns!$C$13-Returns!$C$27*Assumptions!$B$74)+D84*Assumptions!$B$74-D84)</f>
        <v>-6680543.34657799</v>
      </c>
      <c r="F84" s="30" t="n">
        <f aca="false">'Annual Model'!C59+$C84*'Annual Model'!C14*12*'Annual Model'!C10*(1-Assumptions!C$47-Assumptions!C$48-Assumptions!C$49-Assumptions!C$50)*(1-Assumptions!$B$56)-$D84*Assumptions!$B$73</f>
        <v>201403.533382397</v>
      </c>
      <c r="G84" s="30" t="n">
        <f aca="false">'Annual Model'!D59+$C84*'Annual Model'!D14*12*'Annual Model'!D10*(1-Assumptions!D$47-Assumptions!D$48-Assumptions!D$49-Assumptions!D$50)*(1-Assumptions!$B$56)-$D84*Assumptions!$B$73</f>
        <v>341704.20885909</v>
      </c>
      <c r="H84" s="30" t="n">
        <f aca="false">'Annual Model'!E59+$C84*'Annual Model'!E14*12*'Annual Model'!E10*(1-Assumptions!E$47-Assumptions!E$48-Assumptions!E$49-Assumptions!E$50)*(1-Assumptions!$B$56)-$D84*Assumptions!$B$73</f>
        <v>485638.408587585</v>
      </c>
      <c r="I84" s="30" t="n">
        <f aca="false">'Annual Model'!F59+$C84*'Annual Model'!F14*12*'Annual Model'!F10*(1-Assumptions!F$47-Assumptions!F$48-Assumptions!F$49-Assumptions!F$50)*(1-Assumptions!$B$56)-$D84*Assumptions!$B$73</f>
        <v>530798.165978459</v>
      </c>
      <c r="J84" s="30" t="n">
        <f aca="false">'Annual Model'!G59+$C84*'Annual Model'!G14*12*'Annual Model'!G10*(1-Assumptions!G$47-Assumptions!G$48-Assumptions!G$49-Assumptions!G$50)*(1-Assumptions!$B$56)-$D84*Assumptions!$B$73+(L84/B84)*(1-Assumptions!$B$13)-$D84</f>
        <v>8803231.93284195</v>
      </c>
      <c r="K84" s="91" t="n">
        <f aca="false">IRR(E84:J84)</f>
        <v>0.0992283846382054</v>
      </c>
      <c r="L84" s="30" t="n">
        <f aca="false">'Annual Model'!H50+$C84*Assumptions!$B$17*12*'Annual Model'!H10*(1-Assumptions!G$47-Assumptions!G$48-Assumptions!G$49-Assumptions!G$50)*(1-Assumptions!$B$56)</f>
        <v>1270897.57872606</v>
      </c>
      <c r="M84" s="30" t="n">
        <f aca="false">'Annual Model'!C50+$C84*'Annual Model'!C14*12*'Annual Model'!C10*(1-Assumptions!C$47-Assumptions!C$48-Assumptions!C$49-Assumptions!C$50)*(1-Assumptions!$B$56)</f>
        <v>881129.426539153</v>
      </c>
    </row>
    <row r="85" customFormat="false" ht="15" hidden="false" customHeight="false" outlineLevel="0" collapsed="false">
      <c r="A85" s="42" t="n">
        <v>190</v>
      </c>
      <c r="B85" s="90" t="n">
        <v>0.0675</v>
      </c>
      <c r="C85" s="30" t="n">
        <f aca="false">A85-Assumptions!$B$39</f>
        <v>23.6864406779661</v>
      </c>
      <c r="D85" s="30" t="n">
        <f aca="false">MIN(Returns!$C$22*Assumptions!$B$70,M85/Assumptions!$B$71,M85/(Assumptions!$B$72*Assumptions!$B$73))</f>
        <v>11014117.8317394</v>
      </c>
      <c r="E85" s="30" t="n">
        <f aca="false">-((Returns!$C$13-Returns!$C$27*Assumptions!$B$74)+D85*Assumptions!$B$74-D85)</f>
        <v>-6680543.34657799</v>
      </c>
      <c r="F85" s="30" t="n">
        <f aca="false">'Annual Model'!C59+$C85*'Annual Model'!C14*12*'Annual Model'!C10*(1-Assumptions!C$47-Assumptions!C$48-Assumptions!C$49-Assumptions!C$50)*(1-Assumptions!$B$56)-$D85*Assumptions!$B$73</f>
        <v>201403.533382397</v>
      </c>
      <c r="G85" s="30" t="n">
        <f aca="false">'Annual Model'!D59+$C85*'Annual Model'!D14*12*'Annual Model'!D10*(1-Assumptions!D$47-Assumptions!D$48-Assumptions!D$49-Assumptions!D$50)*(1-Assumptions!$B$56)-$D85*Assumptions!$B$73</f>
        <v>341704.20885909</v>
      </c>
      <c r="H85" s="30" t="n">
        <f aca="false">'Annual Model'!E59+$C85*'Annual Model'!E14*12*'Annual Model'!E10*(1-Assumptions!E$47-Assumptions!E$48-Assumptions!E$49-Assumptions!E$50)*(1-Assumptions!$B$56)-$D85*Assumptions!$B$73</f>
        <v>485638.408587585</v>
      </c>
      <c r="I85" s="30" t="n">
        <f aca="false">'Annual Model'!F59+$C85*'Annual Model'!F14*12*'Annual Model'!F10*(1-Assumptions!F$47-Assumptions!F$48-Assumptions!F$49-Assumptions!F$50)*(1-Assumptions!$B$56)-$D85*Assumptions!$B$73</f>
        <v>530798.165978459</v>
      </c>
      <c r="J85" s="30" t="n">
        <f aca="false">'Annual Model'!G59+$C85*'Annual Model'!G14*12*'Annual Model'!G10*(1-Assumptions!G$47-Assumptions!G$48-Assumptions!G$49-Assumptions!G$50)*(1-Assumptions!$B$56)-$D85*Assumptions!$B$73+(L85/B85)*(1-Assumptions!$B$13)-$D85</f>
        <v>8089936.14079342</v>
      </c>
      <c r="K85" s="91" t="n">
        <f aca="false">IRR(E85:J85)</f>
        <v>0.0828219589939456</v>
      </c>
      <c r="L85" s="30" t="n">
        <f aca="false">'Annual Model'!H50+$C85*Assumptions!$B$17*12*'Annual Model'!H10*(1-Assumptions!G$47-Assumptions!G$48-Assumptions!G$49-Assumptions!G$50)*(1-Assumptions!$B$56)</f>
        <v>1270897.57872606</v>
      </c>
      <c r="M85" s="30" t="n">
        <f aca="false">'Annual Model'!C50+$C85*'Annual Model'!C14*12*'Annual Model'!C10*(1-Assumptions!C$47-Assumptions!C$48-Assumptions!C$49-Assumptions!C$50)*(1-Assumptions!$B$56)</f>
        <v>881129.426539153</v>
      </c>
    </row>
    <row r="86" customFormat="false" ht="15" hidden="false" customHeight="false" outlineLevel="0" collapsed="false">
      <c r="A86" s="42" t="n">
        <v>190</v>
      </c>
      <c r="B86" s="90" t="n">
        <v>0.07</v>
      </c>
      <c r="C86" s="30" t="n">
        <f aca="false">A86-Assumptions!$B$39</f>
        <v>23.6864406779661</v>
      </c>
      <c r="D86" s="30" t="n">
        <f aca="false">MIN(Returns!$C$22*Assumptions!$B$70,M86/Assumptions!$B$71,M86/(Assumptions!$B$72*Assumptions!$B$73))</f>
        <v>11014117.8317394</v>
      </c>
      <c r="E86" s="30" t="n">
        <f aca="false">-((Returns!$C$13-Returns!$C$27*Assumptions!$B$74)+D86*Assumptions!$B$74-D86)</f>
        <v>-6680543.34657799</v>
      </c>
      <c r="F86" s="30" t="n">
        <f aca="false">'Annual Model'!C59+$C86*'Annual Model'!C14*12*'Annual Model'!C10*(1-Assumptions!C$47-Assumptions!C$48-Assumptions!C$49-Assumptions!C$50)*(1-Assumptions!$B$56)-$D86*Assumptions!$B$73</f>
        <v>201403.533382397</v>
      </c>
      <c r="G86" s="30" t="n">
        <f aca="false">'Annual Model'!D59+$C86*'Annual Model'!D14*12*'Annual Model'!D10*(1-Assumptions!D$47-Assumptions!D$48-Assumptions!D$49-Assumptions!D$50)*(1-Assumptions!$B$56)-$D86*Assumptions!$B$73</f>
        <v>341704.20885909</v>
      </c>
      <c r="H86" s="30" t="n">
        <f aca="false">'Annual Model'!E59+$C86*'Annual Model'!E14*12*'Annual Model'!E10*(1-Assumptions!E$47-Assumptions!E$48-Assumptions!E$49-Assumptions!E$50)*(1-Assumptions!$B$56)-$D86*Assumptions!$B$73</f>
        <v>485638.408587585</v>
      </c>
      <c r="I86" s="30" t="n">
        <f aca="false">'Annual Model'!F59+$C86*'Annual Model'!F14*12*'Annual Model'!F10*(1-Assumptions!F$47-Assumptions!F$48-Assumptions!F$49-Assumptions!F$50)*(1-Assumptions!$B$56)-$D86*Assumptions!$B$73</f>
        <v>530798.165978459</v>
      </c>
      <c r="J86" s="30" t="n">
        <f aca="false">'Annual Model'!G59+$C86*'Annual Model'!G14*12*'Annual Model'!G10*(1-Assumptions!G$47-Assumptions!G$48-Assumptions!G$49-Assumptions!G$50)*(1-Assumptions!$B$56)-$D86*Assumptions!$B$73+(L86/B86)*(1-Assumptions!$B$13)-$D86</f>
        <v>7427590.04817692</v>
      </c>
      <c r="K86" s="91" t="n">
        <f aca="false">IRR(E86:J86)</f>
        <v>0.0665903415844416</v>
      </c>
      <c r="L86" s="30" t="n">
        <f aca="false">'Annual Model'!H50+$C86*Assumptions!$B$17*12*'Annual Model'!H10*(1-Assumptions!G$47-Assumptions!G$48-Assumptions!G$49-Assumptions!G$50)*(1-Assumptions!$B$56)</f>
        <v>1270897.57872606</v>
      </c>
      <c r="M86" s="30" t="n">
        <f aca="false">'Annual Model'!C50+$C86*'Annual Model'!C14*12*'Annual Model'!C10*(1-Assumptions!C$47-Assumptions!C$48-Assumptions!C$49-Assumptions!C$50)*(1-Assumptions!$B$56)</f>
        <v>881129.426539153</v>
      </c>
    </row>
    <row r="87" customFormat="false" ht="15" hidden="false" customHeight="false" outlineLevel="0" collapsed="false">
      <c r="A87" s="42" t="n">
        <v>190</v>
      </c>
      <c r="B87" s="90" t="n">
        <v>0.075</v>
      </c>
      <c r="C87" s="30" t="n">
        <f aca="false">A87-Assumptions!$B$39</f>
        <v>23.6864406779661</v>
      </c>
      <c r="D87" s="30" t="n">
        <f aca="false">MIN(Returns!$C$22*Assumptions!$B$70,M87/Assumptions!$B$71,M87/(Assumptions!$B$72*Assumptions!$B$73))</f>
        <v>11014117.8317394</v>
      </c>
      <c r="E87" s="30" t="n">
        <f aca="false">-((Returns!$C$13-Returns!$C$27*Assumptions!$B$74)+D87*Assumptions!$B$74-D87)</f>
        <v>-6680543.34657799</v>
      </c>
      <c r="F87" s="30" t="n">
        <f aca="false">'Annual Model'!C59+$C87*'Annual Model'!C14*12*'Annual Model'!C10*(1-Assumptions!C$47-Assumptions!C$48-Assumptions!C$49-Assumptions!C$50)*(1-Assumptions!$B$56)-$D87*Assumptions!$B$73</f>
        <v>201403.533382397</v>
      </c>
      <c r="G87" s="30" t="n">
        <f aca="false">'Annual Model'!D59+$C87*'Annual Model'!D14*12*'Annual Model'!D10*(1-Assumptions!D$47-Assumptions!D$48-Assumptions!D$49-Assumptions!D$50)*(1-Assumptions!$B$56)-$D87*Assumptions!$B$73</f>
        <v>341704.20885909</v>
      </c>
      <c r="H87" s="30" t="n">
        <f aca="false">'Annual Model'!E59+$C87*'Annual Model'!E14*12*'Annual Model'!E10*(1-Assumptions!E$47-Assumptions!E$48-Assumptions!E$49-Assumptions!E$50)*(1-Assumptions!$B$56)-$D87*Assumptions!$B$73</f>
        <v>485638.408587585</v>
      </c>
      <c r="I87" s="30" t="n">
        <f aca="false">'Annual Model'!F59+$C87*'Annual Model'!F14*12*'Annual Model'!F10*(1-Assumptions!F$47-Assumptions!F$48-Assumptions!F$49-Assumptions!F$50)*(1-Assumptions!$B$56)-$D87*Assumptions!$B$73</f>
        <v>530798.165978459</v>
      </c>
      <c r="J87" s="30" t="n">
        <f aca="false">'Annual Model'!G59+$C87*'Annual Model'!G14*12*'Annual Model'!G10*(1-Assumptions!G$47-Assumptions!G$48-Assumptions!G$49-Assumptions!G$50)*(1-Assumptions!$B$56)-$D87*Assumptions!$B$73+(L87/B87)*(1-Assumptions!$B$13)-$D87</f>
        <v>6235367.08146724</v>
      </c>
      <c r="K87" s="91" t="n">
        <f aca="false">IRR(E87:J87)</f>
        <v>0.0344405023201033</v>
      </c>
      <c r="L87" s="30" t="n">
        <f aca="false">'Annual Model'!H50+$C87*Assumptions!$B$17*12*'Annual Model'!H10*(1-Assumptions!G$47-Assumptions!G$48-Assumptions!G$49-Assumptions!G$50)*(1-Assumptions!$B$56)</f>
        <v>1270897.57872606</v>
      </c>
      <c r="M87" s="30" t="n">
        <f aca="false">'Annual Model'!C50+$C87*'Annual Model'!C14*12*'Annual Model'!C10*(1-Assumptions!C$47-Assumptions!C$48-Assumptions!C$49-Assumptions!C$50)*(1-Assumptions!$B$56)</f>
        <v>881129.426539153</v>
      </c>
    </row>
    <row r="89" customFormat="false" ht="15" hidden="false" customHeight="false" outlineLevel="0" collapsed="false">
      <c r="A89" s="4" t="s">
        <v>738</v>
      </c>
      <c r="B89" s="4"/>
      <c r="C89" s="4"/>
      <c r="D89" s="4"/>
      <c r="E89" s="4"/>
      <c r="F89" s="4"/>
      <c r="G89" s="4"/>
    </row>
    <row r="90" customFormat="false" ht="15" hidden="false" customHeight="false" outlineLevel="0" collapsed="false">
      <c r="A90" s="64" t="s">
        <v>739</v>
      </c>
      <c r="B90" s="92" t="n">
        <v>0.06</v>
      </c>
      <c r="C90" s="92" t="n">
        <v>0.065</v>
      </c>
      <c r="D90" s="92" t="n">
        <v>0.0675</v>
      </c>
      <c r="E90" s="92" t="n">
        <v>0.07</v>
      </c>
      <c r="F90" s="92" t="n">
        <v>0.075</v>
      </c>
      <c r="G90" s="25" t="s">
        <v>740</v>
      </c>
    </row>
    <row r="91" customFormat="false" ht="15" hidden="false" customHeight="false" outlineLevel="0" collapsed="false">
      <c r="A91" s="30" t="n">
        <v>125</v>
      </c>
      <c r="B91" s="93" t="n">
        <f aca="false">K68</f>
        <v>0.0906728135523979</v>
      </c>
      <c r="C91" s="93" t="n">
        <f aca="false">K69</f>
        <v>0.0553659654792444</v>
      </c>
      <c r="D91" s="93" t="n">
        <f aca="false">K70</f>
        <v>0.0379452968343377</v>
      </c>
      <c r="E91" s="93" t="n">
        <f aca="false">K71</f>
        <v>0.020591231738943</v>
      </c>
      <c r="F91" s="93" t="n">
        <f aca="false">K72</f>
        <v>-0.0141896259685177</v>
      </c>
      <c r="G91" s="72" t="n">
        <f aca="false">A91*12/Assumptions!$B$35</f>
        <v>0.0952124798278645</v>
      </c>
    </row>
    <row r="92" customFormat="false" ht="15" hidden="false" customHeight="false" outlineLevel="0" collapsed="false">
      <c r="A92" s="30" t="n">
        <v>150</v>
      </c>
      <c r="B92" s="93" t="n">
        <f aca="false">K73</f>
        <v>0.107317624897824</v>
      </c>
      <c r="C92" s="93" t="n">
        <f aca="false">K74</f>
        <v>0.07275753938268</v>
      </c>
      <c r="D92" s="93" t="n">
        <f aca="false">K75</f>
        <v>0.0557714958660363</v>
      </c>
      <c r="E92" s="93" t="n">
        <f aca="false">K76</f>
        <v>0.0389000485382548</v>
      </c>
      <c r="F92" s="93" t="n">
        <f aca="false">K77</f>
        <v>0.00525764868400853</v>
      </c>
      <c r="G92" s="72" t="n">
        <f aca="false">A92*12/Assumptions!$B$35</f>
        <v>0.114254975793437</v>
      </c>
    </row>
    <row r="93" customFormat="false" ht="15" hidden="false" customHeight="false" outlineLevel="0" collapsed="false">
      <c r="A93" s="30" t="n">
        <v>166</v>
      </c>
      <c r="B93" s="93" t="n">
        <f aca="false">K78</f>
        <v>0.117665676173316</v>
      </c>
      <c r="C93" s="93" t="n">
        <f aca="false">K79</f>
        <v>0.0835323152269318</v>
      </c>
      <c r="D93" s="93" t="n">
        <f aca="false">K80</f>
        <v>0.066793459268918</v>
      </c>
      <c r="E93" s="93" t="n">
        <f aca="false">K81</f>
        <v>0.0501953892076763</v>
      </c>
      <c r="F93" s="93" t="n">
        <f aca="false">K82</f>
        <v>0.0171929722839729</v>
      </c>
      <c r="G93" s="72" t="n">
        <f aca="false">A93*12/Assumptions!$B$35</f>
        <v>0.126442173211404</v>
      </c>
    </row>
    <row r="94" customFormat="false" ht="15" hidden="false" customHeight="false" outlineLevel="0" collapsed="false">
      <c r="A94" s="30" t="n">
        <v>190</v>
      </c>
      <c r="B94" s="93" t="n">
        <f aca="false">K83</f>
        <v>0.132785702569062</v>
      </c>
      <c r="C94" s="93" t="n">
        <f aca="false">K84</f>
        <v>0.0992283846382054</v>
      </c>
      <c r="D94" s="93" t="n">
        <f aca="false">K85</f>
        <v>0.0828219589939456</v>
      </c>
      <c r="E94" s="93" t="n">
        <f aca="false">K86</f>
        <v>0.0665903415844416</v>
      </c>
      <c r="F94" s="93" t="n">
        <f aca="false">K87</f>
        <v>0.0344405023201033</v>
      </c>
      <c r="G94" s="72" t="n">
        <f aca="false">A94*12/Assumptions!$B$35</f>
        <v>0.144722969338354</v>
      </c>
    </row>
    <row r="96" customFormat="false" ht="43.5" hidden="false" customHeight="true" outlineLevel="0" collapsed="false">
      <c r="A96" s="59" t="s">
        <v>741</v>
      </c>
      <c r="B96" s="59"/>
      <c r="C96" s="59"/>
      <c r="D96" s="59"/>
      <c r="E96" s="59"/>
      <c r="F96" s="59"/>
      <c r="G96" s="59"/>
      <c r="H96" s="59"/>
    </row>
  </sheetData>
  <mergeCells count="7">
    <mergeCell ref="A5:L5"/>
    <mergeCell ref="A43:G43"/>
    <mergeCell ref="A53:H53"/>
    <mergeCell ref="A55:G55"/>
    <mergeCell ref="A66:L66"/>
    <mergeCell ref="A89:G89"/>
    <mergeCell ref="A96:H96"/>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74"/>
    <col collapsed="false" customWidth="true" hidden="false" outlineLevel="0" max="4" min="4" style="0" width="60"/>
    <col collapsed="false" customWidth="true" hidden="false" outlineLevel="0" max="5" min="5" style="0" width="12"/>
  </cols>
  <sheetData>
    <row r="1" customFormat="false" ht="17.35" hidden="false" customHeight="false" outlineLevel="0" collapsed="false">
      <c r="A1" s="1" t="s">
        <v>0</v>
      </c>
    </row>
    <row r="2" customFormat="false" ht="15" hidden="false" customHeight="false" outlineLevel="0" collapsed="false">
      <c r="A2" s="2" t="s">
        <v>742</v>
      </c>
    </row>
    <row r="3" customFormat="false" ht="15" hidden="false" customHeight="false" outlineLevel="0" collapsed="false">
      <c r="A3" s="3" t="s">
        <v>2</v>
      </c>
    </row>
    <row r="5" customFormat="false" ht="15" hidden="false" customHeight="false" outlineLevel="0" collapsed="false">
      <c r="A5" s="25" t="s">
        <v>743</v>
      </c>
      <c r="B5" s="7" t="s">
        <v>744</v>
      </c>
      <c r="C5" s="7" t="s">
        <v>745</v>
      </c>
      <c r="D5" s="7" t="s">
        <v>746</v>
      </c>
      <c r="E5" s="25" t="s">
        <v>747</v>
      </c>
    </row>
    <row r="6" customFormat="false" ht="15" hidden="false" customHeight="false" outlineLevel="0" collapsed="false">
      <c r="A6" s="9"/>
      <c r="B6" s="49" t="s">
        <v>748</v>
      </c>
      <c r="C6" s="49"/>
      <c r="D6" s="49"/>
      <c r="E6" s="49"/>
    </row>
    <row r="7" customFormat="false" ht="39" hidden="false" customHeight="true" outlineLevel="0" collapsed="false">
      <c r="A7" s="97" t="n">
        <v>1</v>
      </c>
      <c r="B7" s="98" t="s">
        <v>749</v>
      </c>
      <c r="C7" s="99" t="s">
        <v>750</v>
      </c>
      <c r="D7" s="98" t="s">
        <v>751</v>
      </c>
      <c r="E7" s="100" t="s">
        <v>752</v>
      </c>
    </row>
    <row r="8" customFormat="false" ht="39" hidden="false" customHeight="true" outlineLevel="0" collapsed="false">
      <c r="A8" s="97" t="n">
        <v>2</v>
      </c>
      <c r="B8" s="98" t="s">
        <v>749</v>
      </c>
      <c r="C8" s="99" t="s">
        <v>753</v>
      </c>
      <c r="D8" s="98" t="s">
        <v>754</v>
      </c>
      <c r="E8" s="100" t="s">
        <v>752</v>
      </c>
    </row>
    <row r="9" customFormat="false" ht="39" hidden="false" customHeight="true" outlineLevel="0" collapsed="false">
      <c r="A9" s="97" t="n">
        <v>3</v>
      </c>
      <c r="B9" s="98" t="s">
        <v>749</v>
      </c>
      <c r="C9" s="99" t="s">
        <v>755</v>
      </c>
      <c r="D9" s="98" t="s">
        <v>756</v>
      </c>
      <c r="E9" s="101" t="s">
        <v>757</v>
      </c>
    </row>
    <row r="10" customFormat="false" ht="39" hidden="false" customHeight="true" outlineLevel="0" collapsed="false">
      <c r="A10" s="97" t="n">
        <v>4</v>
      </c>
      <c r="B10" s="98" t="s">
        <v>749</v>
      </c>
      <c r="C10" s="99" t="s">
        <v>758</v>
      </c>
      <c r="D10" s="98" t="s">
        <v>759</v>
      </c>
      <c r="E10" s="100" t="s">
        <v>752</v>
      </c>
    </row>
    <row r="11" customFormat="false" ht="39" hidden="false" customHeight="true" outlineLevel="0" collapsed="false">
      <c r="A11" s="97" t="n">
        <v>5</v>
      </c>
      <c r="B11" s="98" t="s">
        <v>749</v>
      </c>
      <c r="C11" s="99" t="s">
        <v>760</v>
      </c>
      <c r="D11" s="98" t="s">
        <v>761</v>
      </c>
      <c r="E11" s="101" t="s">
        <v>762</v>
      </c>
    </row>
    <row r="12" customFormat="false" ht="30" hidden="false" customHeight="true" outlineLevel="0" collapsed="false">
      <c r="A12" s="97" t="n">
        <v>6</v>
      </c>
      <c r="B12" s="98" t="s">
        <v>749</v>
      </c>
      <c r="C12" s="99" t="s">
        <v>763</v>
      </c>
      <c r="D12" s="98" t="s">
        <v>764</v>
      </c>
      <c r="E12" s="101" t="s">
        <v>757</v>
      </c>
    </row>
    <row r="13" customFormat="false" ht="30" hidden="false" customHeight="true" outlineLevel="0" collapsed="false">
      <c r="A13" s="97" t="n">
        <v>7</v>
      </c>
      <c r="B13" s="98" t="s">
        <v>749</v>
      </c>
      <c r="C13" s="99" t="s">
        <v>765</v>
      </c>
      <c r="D13" s="98" t="s">
        <v>766</v>
      </c>
      <c r="E13" s="100" t="s">
        <v>752</v>
      </c>
    </row>
    <row r="14" customFormat="false" ht="15" hidden="false" customHeight="false" outlineLevel="0" collapsed="false">
      <c r="A14" s="9"/>
      <c r="B14" s="49" t="s">
        <v>767</v>
      </c>
      <c r="C14" s="49"/>
      <c r="D14" s="49"/>
      <c r="E14" s="49"/>
    </row>
    <row r="15" customFormat="false" ht="64.5" hidden="false" customHeight="true" outlineLevel="0" collapsed="false">
      <c r="A15" s="97" t="n">
        <v>8</v>
      </c>
      <c r="B15" s="98" t="s">
        <v>768</v>
      </c>
      <c r="C15" s="99" t="s">
        <v>769</v>
      </c>
      <c r="D15" s="98" t="s">
        <v>770</v>
      </c>
      <c r="E15" s="100" t="s">
        <v>752</v>
      </c>
    </row>
    <row r="16" customFormat="false" ht="51.75" hidden="false" customHeight="true" outlineLevel="0" collapsed="false">
      <c r="A16" s="97" t="n">
        <v>9</v>
      </c>
      <c r="B16" s="98" t="s">
        <v>768</v>
      </c>
      <c r="C16" s="99" t="s">
        <v>771</v>
      </c>
      <c r="D16" s="98" t="s">
        <v>772</v>
      </c>
      <c r="E16" s="100" t="s">
        <v>752</v>
      </c>
    </row>
    <row r="17" customFormat="false" ht="51.75" hidden="false" customHeight="true" outlineLevel="0" collapsed="false">
      <c r="A17" s="97" t="n">
        <v>10</v>
      </c>
      <c r="B17" s="98" t="s">
        <v>768</v>
      </c>
      <c r="C17" s="99" t="s">
        <v>773</v>
      </c>
      <c r="D17" s="98" t="s">
        <v>774</v>
      </c>
      <c r="E17" s="100" t="s">
        <v>752</v>
      </c>
    </row>
    <row r="18" customFormat="false" ht="39" hidden="false" customHeight="true" outlineLevel="0" collapsed="false">
      <c r="A18" s="97" t="n">
        <v>11</v>
      </c>
      <c r="B18" s="98" t="s">
        <v>768</v>
      </c>
      <c r="C18" s="99" t="s">
        <v>775</v>
      </c>
      <c r="D18" s="98" t="s">
        <v>776</v>
      </c>
      <c r="E18" s="101" t="s">
        <v>762</v>
      </c>
    </row>
    <row r="19" customFormat="false" ht="39" hidden="false" customHeight="true" outlineLevel="0" collapsed="false">
      <c r="A19" s="97" t="n">
        <v>12</v>
      </c>
      <c r="B19" s="98" t="s">
        <v>768</v>
      </c>
      <c r="C19" s="99" t="s">
        <v>777</v>
      </c>
      <c r="D19" s="98" t="s">
        <v>778</v>
      </c>
      <c r="E19" s="101" t="s">
        <v>757</v>
      </c>
    </row>
    <row r="20" customFormat="false" ht="30" hidden="false" customHeight="true" outlineLevel="0" collapsed="false">
      <c r="A20" s="97" t="n">
        <v>13</v>
      </c>
      <c r="B20" s="98" t="s">
        <v>768</v>
      </c>
      <c r="C20" s="99" t="s">
        <v>779</v>
      </c>
      <c r="D20" s="98" t="s">
        <v>780</v>
      </c>
      <c r="E20" s="101" t="s">
        <v>762</v>
      </c>
    </row>
    <row r="21" customFormat="false" ht="15" hidden="false" customHeight="false" outlineLevel="0" collapsed="false">
      <c r="A21" s="9"/>
      <c r="B21" s="49" t="s">
        <v>781</v>
      </c>
      <c r="C21" s="49"/>
      <c r="D21" s="49"/>
      <c r="E21" s="49"/>
    </row>
    <row r="22" customFormat="false" ht="39" hidden="false" customHeight="true" outlineLevel="0" collapsed="false">
      <c r="A22" s="97" t="n">
        <v>14</v>
      </c>
      <c r="B22" s="98" t="s">
        <v>782</v>
      </c>
      <c r="C22" s="99" t="s">
        <v>783</v>
      </c>
      <c r="D22" s="98" t="s">
        <v>784</v>
      </c>
      <c r="E22" s="100" t="s">
        <v>752</v>
      </c>
    </row>
    <row r="23" customFormat="false" ht="39" hidden="false" customHeight="true" outlineLevel="0" collapsed="false">
      <c r="A23" s="97" t="n">
        <v>15</v>
      </c>
      <c r="B23" s="98" t="s">
        <v>782</v>
      </c>
      <c r="C23" s="99" t="s">
        <v>785</v>
      </c>
      <c r="D23" s="98" t="s">
        <v>786</v>
      </c>
      <c r="E23" s="100" t="s">
        <v>752</v>
      </c>
    </row>
    <row r="24" customFormat="false" ht="39" hidden="false" customHeight="true" outlineLevel="0" collapsed="false">
      <c r="A24" s="97" t="n">
        <v>16</v>
      </c>
      <c r="B24" s="98" t="s">
        <v>782</v>
      </c>
      <c r="C24" s="99" t="s">
        <v>787</v>
      </c>
      <c r="D24" s="98" t="s">
        <v>788</v>
      </c>
      <c r="E24" s="100" t="s">
        <v>752</v>
      </c>
    </row>
    <row r="25" customFormat="false" ht="30" hidden="false" customHeight="true" outlineLevel="0" collapsed="false">
      <c r="A25" s="97" t="n">
        <v>17</v>
      </c>
      <c r="B25" s="98" t="s">
        <v>782</v>
      </c>
      <c r="C25" s="99" t="s">
        <v>789</v>
      </c>
      <c r="D25" s="98" t="s">
        <v>790</v>
      </c>
      <c r="E25" s="101" t="s">
        <v>757</v>
      </c>
    </row>
    <row r="26" customFormat="false" ht="39" hidden="false" customHeight="true" outlineLevel="0" collapsed="false">
      <c r="A26" s="97" t="n">
        <v>18</v>
      </c>
      <c r="B26" s="98" t="s">
        <v>782</v>
      </c>
      <c r="C26" s="99" t="s">
        <v>791</v>
      </c>
      <c r="D26" s="98" t="s">
        <v>792</v>
      </c>
      <c r="E26" s="100" t="s">
        <v>752</v>
      </c>
    </row>
    <row r="27" customFormat="false" ht="39" hidden="false" customHeight="true" outlineLevel="0" collapsed="false">
      <c r="A27" s="97" t="n">
        <v>19</v>
      </c>
      <c r="B27" s="98" t="s">
        <v>782</v>
      </c>
      <c r="C27" s="99" t="s">
        <v>793</v>
      </c>
      <c r="D27" s="98" t="s">
        <v>794</v>
      </c>
      <c r="E27" s="101" t="s">
        <v>757</v>
      </c>
    </row>
    <row r="28" customFormat="false" ht="15" hidden="false" customHeight="false" outlineLevel="0" collapsed="false">
      <c r="A28" s="9"/>
      <c r="B28" s="49" t="s">
        <v>795</v>
      </c>
      <c r="C28" s="49"/>
      <c r="D28" s="49"/>
      <c r="E28" s="49"/>
    </row>
    <row r="29" customFormat="false" ht="51.75" hidden="false" customHeight="true" outlineLevel="0" collapsed="false">
      <c r="A29" s="97" t="n">
        <v>20</v>
      </c>
      <c r="B29" s="98" t="s">
        <v>796</v>
      </c>
      <c r="C29" s="99" t="s">
        <v>797</v>
      </c>
      <c r="D29" s="98" t="s">
        <v>798</v>
      </c>
      <c r="E29" s="100" t="s">
        <v>752</v>
      </c>
    </row>
    <row r="30" customFormat="false" ht="39" hidden="false" customHeight="true" outlineLevel="0" collapsed="false">
      <c r="A30" s="97" t="n">
        <v>21</v>
      </c>
      <c r="B30" s="98" t="s">
        <v>796</v>
      </c>
      <c r="C30" s="99" t="s">
        <v>799</v>
      </c>
      <c r="D30" s="98" t="s">
        <v>800</v>
      </c>
      <c r="E30" s="100" t="s">
        <v>752</v>
      </c>
    </row>
    <row r="31" customFormat="false" ht="39" hidden="false" customHeight="true" outlineLevel="0" collapsed="false">
      <c r="A31" s="97" t="n">
        <v>22</v>
      </c>
      <c r="B31" s="98" t="s">
        <v>796</v>
      </c>
      <c r="C31" s="99" t="s">
        <v>801</v>
      </c>
      <c r="D31" s="98" t="s">
        <v>802</v>
      </c>
      <c r="E31" s="100" t="s">
        <v>752</v>
      </c>
    </row>
    <row r="32" customFormat="false" ht="30" hidden="false" customHeight="true" outlineLevel="0" collapsed="false">
      <c r="A32" s="97" t="n">
        <v>23</v>
      </c>
      <c r="B32" s="98" t="s">
        <v>796</v>
      </c>
      <c r="C32" s="99" t="s">
        <v>803</v>
      </c>
      <c r="D32" s="98" t="s">
        <v>804</v>
      </c>
      <c r="E32" s="101" t="s">
        <v>757</v>
      </c>
    </row>
    <row r="33" customFormat="false" ht="39" hidden="false" customHeight="true" outlineLevel="0" collapsed="false">
      <c r="A33" s="97" t="n">
        <v>24</v>
      </c>
      <c r="B33" s="98" t="s">
        <v>796</v>
      </c>
      <c r="C33" s="99" t="s">
        <v>805</v>
      </c>
      <c r="D33" s="98" t="s">
        <v>806</v>
      </c>
      <c r="E33" s="101" t="s">
        <v>757</v>
      </c>
    </row>
    <row r="34" customFormat="false" ht="39" hidden="false" customHeight="true" outlineLevel="0" collapsed="false">
      <c r="A34" s="97" t="n">
        <v>25</v>
      </c>
      <c r="B34" s="98" t="s">
        <v>796</v>
      </c>
      <c r="C34" s="99" t="s">
        <v>807</v>
      </c>
      <c r="D34" s="98" t="s">
        <v>808</v>
      </c>
      <c r="E34" s="101" t="s">
        <v>757</v>
      </c>
    </row>
    <row r="35" customFormat="false" ht="30" hidden="false" customHeight="true" outlineLevel="0" collapsed="false">
      <c r="A35" s="97" t="n">
        <v>26</v>
      </c>
      <c r="B35" s="98" t="s">
        <v>796</v>
      </c>
      <c r="C35" s="99" t="s">
        <v>809</v>
      </c>
      <c r="D35" s="98" t="s">
        <v>810</v>
      </c>
      <c r="E35" s="101" t="s">
        <v>762</v>
      </c>
    </row>
    <row r="36" customFormat="false" ht="39" hidden="false" customHeight="true" outlineLevel="0" collapsed="false">
      <c r="A36" s="97" t="n">
        <v>27</v>
      </c>
      <c r="B36" s="98" t="s">
        <v>796</v>
      </c>
      <c r="C36" s="99" t="s">
        <v>811</v>
      </c>
      <c r="D36" s="98" t="s">
        <v>812</v>
      </c>
      <c r="E36" s="101" t="s">
        <v>757</v>
      </c>
    </row>
    <row r="37" customFormat="false" ht="15" hidden="false" customHeight="false" outlineLevel="0" collapsed="false">
      <c r="A37" s="9"/>
      <c r="B37" s="49" t="s">
        <v>813</v>
      </c>
      <c r="C37" s="49"/>
      <c r="D37" s="49"/>
      <c r="E37" s="49"/>
    </row>
    <row r="38" customFormat="false" ht="30" hidden="false" customHeight="true" outlineLevel="0" collapsed="false">
      <c r="A38" s="97" t="n">
        <v>28</v>
      </c>
      <c r="B38" s="98" t="s">
        <v>814</v>
      </c>
      <c r="C38" s="99" t="s">
        <v>815</v>
      </c>
      <c r="D38" s="98" t="s">
        <v>816</v>
      </c>
      <c r="E38" s="100" t="s">
        <v>752</v>
      </c>
    </row>
    <row r="39" customFormat="false" ht="39" hidden="false" customHeight="true" outlineLevel="0" collapsed="false">
      <c r="A39" s="97" t="n">
        <v>29</v>
      </c>
      <c r="B39" s="98" t="s">
        <v>814</v>
      </c>
      <c r="C39" s="99" t="s">
        <v>817</v>
      </c>
      <c r="D39" s="98" t="s">
        <v>818</v>
      </c>
      <c r="E39" s="100" t="s">
        <v>752</v>
      </c>
    </row>
    <row r="40" customFormat="false" ht="51.75" hidden="false" customHeight="true" outlineLevel="0" collapsed="false">
      <c r="A40" s="97" t="n">
        <v>30</v>
      </c>
      <c r="B40" s="98" t="s">
        <v>814</v>
      </c>
      <c r="C40" s="99" t="s">
        <v>819</v>
      </c>
      <c r="D40" s="98" t="s">
        <v>820</v>
      </c>
      <c r="E40" s="101" t="s">
        <v>757</v>
      </c>
    </row>
    <row r="41" customFormat="false" ht="51.75" hidden="false" customHeight="true" outlineLevel="0" collapsed="false">
      <c r="A41" s="97" t="n">
        <v>31</v>
      </c>
      <c r="B41" s="98" t="s">
        <v>814</v>
      </c>
      <c r="C41" s="99" t="s">
        <v>821</v>
      </c>
      <c r="D41" s="98" t="s">
        <v>822</v>
      </c>
      <c r="E41" s="100" t="s">
        <v>752</v>
      </c>
    </row>
    <row r="42" customFormat="false" ht="39" hidden="false" customHeight="true" outlineLevel="0" collapsed="false">
      <c r="A42" s="97" t="n">
        <v>32</v>
      </c>
      <c r="B42" s="98" t="s">
        <v>814</v>
      </c>
      <c r="C42" s="99" t="s">
        <v>823</v>
      </c>
      <c r="D42" s="98" t="s">
        <v>824</v>
      </c>
      <c r="E42" s="100" t="s">
        <v>752</v>
      </c>
    </row>
    <row r="43" customFormat="false" ht="39" hidden="false" customHeight="true" outlineLevel="0" collapsed="false">
      <c r="A43" s="97" t="n">
        <v>33</v>
      </c>
      <c r="B43" s="98" t="s">
        <v>814</v>
      </c>
      <c r="C43" s="99" t="s">
        <v>825</v>
      </c>
      <c r="D43" s="98" t="s">
        <v>826</v>
      </c>
      <c r="E43" s="100" t="s">
        <v>752</v>
      </c>
    </row>
    <row r="44" customFormat="false" ht="39" hidden="false" customHeight="true" outlineLevel="0" collapsed="false">
      <c r="A44" s="97" t="n">
        <v>34</v>
      </c>
      <c r="B44" s="98" t="s">
        <v>814</v>
      </c>
      <c r="C44" s="99" t="s">
        <v>827</v>
      </c>
      <c r="D44" s="98" t="s">
        <v>828</v>
      </c>
      <c r="E44" s="101" t="s">
        <v>757</v>
      </c>
    </row>
    <row r="45" customFormat="false" ht="30" hidden="false" customHeight="true" outlineLevel="0" collapsed="false">
      <c r="A45" s="97" t="n">
        <v>35</v>
      </c>
      <c r="B45" s="98" t="s">
        <v>814</v>
      </c>
      <c r="C45" s="99" t="s">
        <v>829</v>
      </c>
      <c r="D45" s="98" t="s">
        <v>830</v>
      </c>
      <c r="E45" s="101" t="s">
        <v>762</v>
      </c>
    </row>
    <row r="46" customFormat="false" ht="39" hidden="false" customHeight="true" outlineLevel="0" collapsed="false">
      <c r="A46" s="97" t="n">
        <v>36</v>
      </c>
      <c r="B46" s="98" t="s">
        <v>814</v>
      </c>
      <c r="C46" s="99" t="s">
        <v>831</v>
      </c>
      <c r="D46" s="98" t="s">
        <v>832</v>
      </c>
      <c r="E46" s="101" t="s">
        <v>757</v>
      </c>
    </row>
    <row r="47" customFormat="false" ht="30" hidden="false" customHeight="true" outlineLevel="0" collapsed="false">
      <c r="A47" s="97" t="n">
        <v>37</v>
      </c>
      <c r="B47" s="98" t="s">
        <v>814</v>
      </c>
      <c r="C47" s="99" t="s">
        <v>833</v>
      </c>
      <c r="D47" s="98" t="s">
        <v>834</v>
      </c>
      <c r="E47" s="101" t="s">
        <v>762</v>
      </c>
    </row>
    <row r="48" customFormat="false" ht="39" hidden="false" customHeight="true" outlineLevel="0" collapsed="false">
      <c r="A48" s="97" t="n">
        <v>38</v>
      </c>
      <c r="B48" s="98" t="s">
        <v>814</v>
      </c>
      <c r="C48" s="99" t="s">
        <v>835</v>
      </c>
      <c r="D48" s="98" t="s">
        <v>836</v>
      </c>
      <c r="E48" s="101" t="s">
        <v>762</v>
      </c>
    </row>
    <row r="49" customFormat="false" ht="15" hidden="false" customHeight="false" outlineLevel="0" collapsed="false">
      <c r="A49" s="9"/>
      <c r="B49" s="49" t="s">
        <v>837</v>
      </c>
      <c r="C49" s="49"/>
      <c r="D49" s="49"/>
      <c r="E49" s="49"/>
    </row>
    <row r="50" customFormat="false" ht="30" hidden="false" customHeight="true" outlineLevel="0" collapsed="false">
      <c r="A50" s="97" t="n">
        <v>39</v>
      </c>
      <c r="B50" s="98" t="s">
        <v>838</v>
      </c>
      <c r="C50" s="99" t="s">
        <v>839</v>
      </c>
      <c r="D50" s="98" t="s">
        <v>840</v>
      </c>
      <c r="E50" s="100" t="s">
        <v>752</v>
      </c>
    </row>
    <row r="51" customFormat="false" ht="64.5" hidden="false" customHeight="true" outlineLevel="0" collapsed="false">
      <c r="A51" s="97" t="n">
        <v>40</v>
      </c>
      <c r="B51" s="98" t="s">
        <v>838</v>
      </c>
      <c r="C51" s="99" t="s">
        <v>841</v>
      </c>
      <c r="D51" s="98" t="s">
        <v>842</v>
      </c>
      <c r="E51" s="100" t="s">
        <v>752</v>
      </c>
    </row>
    <row r="52" customFormat="false" ht="39" hidden="false" customHeight="true" outlineLevel="0" collapsed="false">
      <c r="A52" s="97" t="n">
        <v>41</v>
      </c>
      <c r="B52" s="98" t="s">
        <v>838</v>
      </c>
      <c r="C52" s="99" t="s">
        <v>843</v>
      </c>
      <c r="D52" s="98" t="s">
        <v>844</v>
      </c>
      <c r="E52" s="100" t="s">
        <v>752</v>
      </c>
    </row>
    <row r="53" customFormat="false" ht="30" hidden="false" customHeight="true" outlineLevel="0" collapsed="false">
      <c r="A53" s="97" t="n">
        <v>42</v>
      </c>
      <c r="B53" s="98" t="s">
        <v>838</v>
      </c>
      <c r="C53" s="99" t="s">
        <v>845</v>
      </c>
      <c r="D53" s="98" t="s">
        <v>846</v>
      </c>
      <c r="E53" s="101" t="s">
        <v>762</v>
      </c>
    </row>
    <row r="54" customFormat="false" ht="30" hidden="false" customHeight="true" outlineLevel="0" collapsed="false">
      <c r="A54" s="97" t="n">
        <v>43</v>
      </c>
      <c r="B54" s="98" t="s">
        <v>838</v>
      </c>
      <c r="C54" s="99" t="s">
        <v>847</v>
      </c>
      <c r="D54" s="98" t="s">
        <v>848</v>
      </c>
      <c r="E54" s="101" t="s">
        <v>762</v>
      </c>
    </row>
    <row r="55" customFormat="false" ht="15" hidden="false" customHeight="false" outlineLevel="0" collapsed="false">
      <c r="A55" s="9"/>
      <c r="B55" s="49" t="s">
        <v>849</v>
      </c>
      <c r="C55" s="49"/>
      <c r="D55" s="49"/>
      <c r="E55" s="49"/>
    </row>
    <row r="56" customFormat="false" ht="39" hidden="false" customHeight="true" outlineLevel="0" collapsed="false">
      <c r="A56" s="97" t="n">
        <v>44</v>
      </c>
      <c r="B56" s="98" t="s">
        <v>850</v>
      </c>
      <c r="C56" s="99" t="s">
        <v>851</v>
      </c>
      <c r="D56" s="98" t="s">
        <v>852</v>
      </c>
      <c r="E56" s="100" t="s">
        <v>752</v>
      </c>
    </row>
    <row r="57" customFormat="false" ht="39" hidden="false" customHeight="true" outlineLevel="0" collapsed="false">
      <c r="A57" s="97" t="n">
        <v>45</v>
      </c>
      <c r="B57" s="98" t="s">
        <v>850</v>
      </c>
      <c r="C57" s="99" t="s">
        <v>853</v>
      </c>
      <c r="D57" s="98" t="s">
        <v>854</v>
      </c>
      <c r="E57" s="100" t="s">
        <v>752</v>
      </c>
    </row>
    <row r="58" customFormat="false" ht="30" hidden="false" customHeight="true" outlineLevel="0" collapsed="false">
      <c r="A58" s="97" t="n">
        <v>46</v>
      </c>
      <c r="B58" s="98" t="s">
        <v>850</v>
      </c>
      <c r="C58" s="99" t="s">
        <v>855</v>
      </c>
      <c r="D58" s="98" t="s">
        <v>856</v>
      </c>
      <c r="E58" s="101" t="s">
        <v>757</v>
      </c>
    </row>
    <row r="59" customFormat="false" ht="30" hidden="false" customHeight="true" outlineLevel="0" collapsed="false">
      <c r="A59" s="97" t="n">
        <v>47</v>
      </c>
      <c r="B59" s="98" t="s">
        <v>850</v>
      </c>
      <c r="C59" s="99" t="s">
        <v>857</v>
      </c>
      <c r="D59" s="98" t="s">
        <v>858</v>
      </c>
      <c r="E59" s="100" t="s">
        <v>752</v>
      </c>
    </row>
    <row r="60" customFormat="false" ht="15" hidden="false" customHeight="false" outlineLevel="0" collapsed="false">
      <c r="A60" s="9"/>
      <c r="B60" s="49" t="s">
        <v>859</v>
      </c>
      <c r="C60" s="49"/>
      <c r="D60" s="49"/>
      <c r="E60" s="49"/>
    </row>
    <row r="61" customFormat="false" ht="39" hidden="false" customHeight="true" outlineLevel="0" collapsed="false">
      <c r="A61" s="97" t="n">
        <v>48</v>
      </c>
      <c r="B61" s="98" t="s">
        <v>860</v>
      </c>
      <c r="C61" s="99" t="s">
        <v>861</v>
      </c>
      <c r="D61" s="98" t="s">
        <v>862</v>
      </c>
      <c r="E61" s="100" t="s">
        <v>752</v>
      </c>
    </row>
    <row r="62" customFormat="false" ht="51.75" hidden="false" customHeight="true" outlineLevel="0" collapsed="false">
      <c r="A62" s="97" t="n">
        <v>49</v>
      </c>
      <c r="B62" s="98" t="s">
        <v>860</v>
      </c>
      <c r="C62" s="99" t="s">
        <v>863</v>
      </c>
      <c r="D62" s="98" t="s">
        <v>864</v>
      </c>
      <c r="E62" s="100" t="s">
        <v>752</v>
      </c>
    </row>
    <row r="63" customFormat="false" ht="30" hidden="false" customHeight="true" outlineLevel="0" collapsed="false">
      <c r="A63" s="97" t="n">
        <v>50</v>
      </c>
      <c r="B63" s="98" t="s">
        <v>860</v>
      </c>
      <c r="C63" s="99" t="s">
        <v>865</v>
      </c>
      <c r="D63" s="98" t="s">
        <v>866</v>
      </c>
      <c r="E63" s="100" t="s">
        <v>752</v>
      </c>
    </row>
    <row r="64" customFormat="false" ht="30" hidden="false" customHeight="true" outlineLevel="0" collapsed="false">
      <c r="A64" s="97" t="n">
        <v>51</v>
      </c>
      <c r="B64" s="98" t="s">
        <v>860</v>
      </c>
      <c r="C64" s="99" t="s">
        <v>867</v>
      </c>
      <c r="D64" s="98" t="s">
        <v>868</v>
      </c>
      <c r="E64" s="101" t="s">
        <v>757</v>
      </c>
    </row>
    <row r="65" customFormat="false" ht="30" hidden="false" customHeight="true" outlineLevel="0" collapsed="false">
      <c r="A65" s="97" t="n">
        <v>52</v>
      </c>
      <c r="B65" s="98" t="s">
        <v>860</v>
      </c>
      <c r="C65" s="99" t="s">
        <v>869</v>
      </c>
      <c r="D65" s="98" t="s">
        <v>870</v>
      </c>
      <c r="E65" s="101" t="s">
        <v>757</v>
      </c>
    </row>
    <row r="66" customFormat="false" ht="15" hidden="false" customHeight="false" outlineLevel="0" collapsed="false">
      <c r="A66" s="9"/>
      <c r="B66" s="49" t="s">
        <v>871</v>
      </c>
      <c r="C66" s="49"/>
      <c r="D66" s="49"/>
      <c r="E66" s="49"/>
    </row>
    <row r="67" customFormat="false" ht="39" hidden="false" customHeight="true" outlineLevel="0" collapsed="false">
      <c r="A67" s="97" t="n">
        <v>53</v>
      </c>
      <c r="B67" s="98" t="s">
        <v>872</v>
      </c>
      <c r="C67" s="99" t="s">
        <v>873</v>
      </c>
      <c r="D67" s="98" t="s">
        <v>874</v>
      </c>
      <c r="E67" s="100" t="s">
        <v>752</v>
      </c>
    </row>
    <row r="68" customFormat="false" ht="39" hidden="false" customHeight="true" outlineLevel="0" collapsed="false">
      <c r="A68" s="97" t="n">
        <v>54</v>
      </c>
      <c r="B68" s="98" t="s">
        <v>872</v>
      </c>
      <c r="C68" s="99" t="s">
        <v>875</v>
      </c>
      <c r="D68" s="98" t="s">
        <v>876</v>
      </c>
      <c r="E68" s="101" t="s">
        <v>757</v>
      </c>
    </row>
    <row r="69" customFormat="false" ht="39" hidden="false" customHeight="true" outlineLevel="0" collapsed="false">
      <c r="A69" s="97" t="n">
        <v>55</v>
      </c>
      <c r="B69" s="98" t="s">
        <v>872</v>
      </c>
      <c r="C69" s="99" t="s">
        <v>877</v>
      </c>
      <c r="D69" s="98" t="s">
        <v>878</v>
      </c>
      <c r="E69" s="101" t="s">
        <v>757</v>
      </c>
    </row>
    <row r="70" customFormat="false" ht="30" hidden="false" customHeight="true" outlineLevel="0" collapsed="false">
      <c r="A70" s="97" t="n">
        <v>56</v>
      </c>
      <c r="B70" s="98" t="s">
        <v>872</v>
      </c>
      <c r="C70" s="99" t="s">
        <v>879</v>
      </c>
      <c r="D70" s="98" t="s">
        <v>880</v>
      </c>
      <c r="E70" s="101" t="s">
        <v>762</v>
      </c>
    </row>
    <row r="71" customFormat="false" ht="30" hidden="false" customHeight="true" outlineLevel="0" collapsed="false">
      <c r="A71" s="97" t="n">
        <v>57</v>
      </c>
      <c r="B71" s="98" t="s">
        <v>872</v>
      </c>
      <c r="C71" s="99" t="s">
        <v>881</v>
      </c>
      <c r="D71" s="98" t="s">
        <v>882</v>
      </c>
      <c r="E71" s="101" t="s">
        <v>757</v>
      </c>
    </row>
    <row r="72" customFormat="false" ht="15" hidden="false" customHeight="false" outlineLevel="0" collapsed="false">
      <c r="A72" s="9"/>
      <c r="B72" s="49" t="s">
        <v>883</v>
      </c>
      <c r="C72" s="49"/>
      <c r="D72" s="49"/>
      <c r="E72" s="49"/>
    </row>
    <row r="73" customFormat="false" ht="51.75" hidden="false" customHeight="true" outlineLevel="0" collapsed="false">
      <c r="A73" s="97" t="n">
        <v>58</v>
      </c>
      <c r="B73" s="98" t="s">
        <v>884</v>
      </c>
      <c r="C73" s="99" t="s">
        <v>885</v>
      </c>
      <c r="D73" s="98" t="s">
        <v>886</v>
      </c>
      <c r="E73" s="100" t="s">
        <v>752</v>
      </c>
    </row>
    <row r="74" customFormat="false" ht="39" hidden="false" customHeight="true" outlineLevel="0" collapsed="false">
      <c r="A74" s="97" t="n">
        <v>59</v>
      </c>
      <c r="B74" s="98" t="s">
        <v>884</v>
      </c>
      <c r="C74" s="99" t="s">
        <v>887</v>
      </c>
      <c r="D74" s="98" t="s">
        <v>888</v>
      </c>
      <c r="E74" s="101" t="s">
        <v>757</v>
      </c>
    </row>
    <row r="75" customFormat="false" ht="30" hidden="false" customHeight="true" outlineLevel="0" collapsed="false">
      <c r="A75" s="97" t="n">
        <v>60</v>
      </c>
      <c r="B75" s="98" t="s">
        <v>884</v>
      </c>
      <c r="C75" s="99" t="s">
        <v>889</v>
      </c>
      <c r="D75" s="98" t="s">
        <v>890</v>
      </c>
      <c r="E75" s="101" t="s">
        <v>757</v>
      </c>
    </row>
    <row r="76" customFormat="false" ht="30" hidden="false" customHeight="true" outlineLevel="0" collapsed="false">
      <c r="A76" s="97" t="n">
        <v>61</v>
      </c>
      <c r="B76" s="98" t="s">
        <v>884</v>
      </c>
      <c r="C76" s="99" t="s">
        <v>891</v>
      </c>
      <c r="D76" s="98" t="s">
        <v>892</v>
      </c>
      <c r="E76" s="101" t="s">
        <v>762</v>
      </c>
    </row>
    <row r="77" customFormat="false" ht="30" hidden="false" customHeight="true" outlineLevel="0" collapsed="false">
      <c r="A77" s="97" t="n">
        <v>62</v>
      </c>
      <c r="B77" s="98" t="s">
        <v>884</v>
      </c>
      <c r="C77" s="99" t="s">
        <v>893</v>
      </c>
      <c r="D77" s="98" t="s">
        <v>894</v>
      </c>
      <c r="E77" s="101" t="s">
        <v>757</v>
      </c>
    </row>
    <row r="79" customFormat="false" ht="15" hidden="false" customHeight="false" outlineLevel="0" collapsed="false">
      <c r="A79" s="58" t="s">
        <v>895</v>
      </c>
    </row>
  </sheetData>
  <mergeCells count="10">
    <mergeCell ref="B6:E6"/>
    <mergeCell ref="B14:E14"/>
    <mergeCell ref="B21:E21"/>
    <mergeCell ref="B28:E28"/>
    <mergeCell ref="B37:E37"/>
    <mergeCell ref="B49:E49"/>
    <mergeCell ref="B55:E55"/>
    <mergeCell ref="B60:E60"/>
    <mergeCell ref="B66:E66"/>
    <mergeCell ref="B72:E7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2026-07-30T00:17:10Z</dcterms:created>
  <dc:creator>openpyxl</dc:creator>
  <dc:description/>
  <dc:language>en-US</dc:language>
  <cp:lastModifiedBy/>
  <dcterms:modified xsi:type="dcterms:W3CDTF">2026-07-30T00:17:10Z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